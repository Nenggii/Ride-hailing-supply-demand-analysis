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d.docs.live.net/e4af9f69cd3faf12/"/>
    </mc:Choice>
  </mc:AlternateContent>
  <xr:revisionPtr revIDLastSave="3" documentId="8_{5A5F894A-1E37-4312-A9E5-AE31F8C84617}" xr6:coauthVersionLast="47" xr6:coauthVersionMax="47" xr10:uidLastSave="{2F74FB3D-C7F9-4D04-82C6-40E314A5D86E}"/>
  <bookViews>
    <workbookView xWindow="-110" yWindow="-110" windowWidth="19420" windowHeight="10300" activeTab="2" xr2:uid="{00000000-000D-0000-FFFF-FFFF00000000}"/>
  </bookViews>
  <sheets>
    <sheet name="Instructions" sheetId="1" r:id="rId1"/>
    <sheet name="Details" sheetId="2" r:id="rId2"/>
    <sheet name="Searches_raw" sheetId="3" r:id="rId3"/>
    <sheet name="Activity_raw" sheetId="4" r:id="rId4"/>
    <sheet name="Q1" sheetId="5" r:id="rId5"/>
    <sheet name="Q2" sheetId="6" r:id="rId6"/>
    <sheet name="Q3" sheetId="7" r:id="rId7"/>
    <sheet name="Q4" sheetId="8" r:id="rId8"/>
    <sheet name="Q5" sheetId="9" r:id="rId9"/>
    <sheet name="Q6" sheetId="10" r:id="rId10"/>
    <sheet name="Q7" sheetId="11" r:id="rId11"/>
  </sheets>
  <definedNames>
    <definedName name="solver_adj" localSheetId="9">'Q6'!$N$8</definedName>
    <definedName name="solver_opt" localSheetId="9">'Q6'!$M$9</definedName>
  </definedNames>
  <calcPr calcId="191029"/>
  <pivotCaches>
    <pivotCache cacheId="0" r:id="rId12"/>
    <pivotCache cacheId="1"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4" l="1"/>
  <c r="F19" i="11"/>
  <c r="P37" i="8" a="1"/>
  <c r="P37" i="8" s="1"/>
  <c r="P36" i="8" a="1"/>
  <c r="P36" i="8" s="1"/>
  <c r="P45" i="8" a="1"/>
  <c r="P45" i="8" s="1"/>
  <c r="Q45" i="8" a="1"/>
  <c r="Q45" i="8" s="1"/>
  <c r="R45" i="8" a="1"/>
  <c r="R45" i="8" s="1"/>
  <c r="S45" i="8" a="1"/>
  <c r="S45" i="8"/>
  <c r="T45" i="8" a="1"/>
  <c r="T45" i="8" s="1"/>
  <c r="U45" i="8" a="1"/>
  <c r="U45" i="8" s="1"/>
  <c r="V45" i="8" a="1"/>
  <c r="V45" i="8" s="1"/>
  <c r="P46" i="8" a="1"/>
  <c r="P46" i="8"/>
  <c r="Q46" i="8" a="1"/>
  <c r="Q46" i="8" s="1"/>
  <c r="R46" i="8" a="1"/>
  <c r="R46" i="8" s="1"/>
  <c r="S46" i="8" a="1"/>
  <c r="S46" i="8" s="1"/>
  <c r="T46" i="8" a="1"/>
  <c r="T46" i="8"/>
  <c r="U46" i="8" a="1"/>
  <c r="U46" i="8" s="1"/>
  <c r="V46" i="8" a="1"/>
  <c r="V46" i="8" s="1"/>
  <c r="P47" i="8" a="1"/>
  <c r="P47" i="8" s="1"/>
  <c r="Q47" i="8" a="1"/>
  <c r="Q47" i="8"/>
  <c r="R47" i="8" a="1"/>
  <c r="R47" i="8" s="1"/>
  <c r="S47" i="8" a="1"/>
  <c r="S47" i="8" s="1"/>
  <c r="T47" i="8" a="1"/>
  <c r="T47" i="8" s="1"/>
  <c r="U47" i="8" a="1"/>
  <c r="U47" i="8"/>
  <c r="V47" i="8" a="1"/>
  <c r="V47" i="8" s="1"/>
  <c r="P48" i="8" a="1"/>
  <c r="P48" i="8" s="1"/>
  <c r="Q48" i="8" a="1"/>
  <c r="Q48" i="8" s="1"/>
  <c r="R48" i="8" a="1"/>
  <c r="R48" i="8"/>
  <c r="S48" i="8" a="1"/>
  <c r="S48" i="8" s="1"/>
  <c r="T48" i="8" a="1"/>
  <c r="T48" i="8" s="1"/>
  <c r="U48" i="8" a="1"/>
  <c r="U48" i="8" s="1"/>
  <c r="V48" i="8" a="1"/>
  <c r="V48" i="8"/>
  <c r="P49" i="8" a="1"/>
  <c r="P49" i="8" s="1"/>
  <c r="Q49" i="8" a="1"/>
  <c r="Q49" i="8" s="1"/>
  <c r="R49" i="8" a="1"/>
  <c r="R49" i="8" s="1"/>
  <c r="S49" i="8" a="1"/>
  <c r="S49" i="8"/>
  <c r="T49" i="8" a="1"/>
  <c r="T49" i="8" s="1"/>
  <c r="U49" i="8" a="1"/>
  <c r="U49" i="8" s="1"/>
  <c r="V49" i="8" a="1"/>
  <c r="V49" i="8" s="1"/>
  <c r="P50" i="8" a="1"/>
  <c r="P50" i="8"/>
  <c r="Q50" i="8" a="1"/>
  <c r="Q50" i="8" s="1"/>
  <c r="R50" i="8" a="1"/>
  <c r="R50" i="8" s="1"/>
  <c r="S50" i="8" a="1"/>
  <c r="S50" i="8" s="1"/>
  <c r="T50" i="8" a="1"/>
  <c r="T50" i="8"/>
  <c r="U50" i="8" a="1"/>
  <c r="U50" i="8" s="1"/>
  <c r="V50" i="8" a="1"/>
  <c r="V50" i="8" s="1"/>
  <c r="P51" i="8" a="1"/>
  <c r="P51" i="8" s="1"/>
  <c r="Q51" i="8" a="1"/>
  <c r="Q51" i="8"/>
  <c r="R51" i="8" a="1"/>
  <c r="R51" i="8" s="1"/>
  <c r="S51" i="8" a="1"/>
  <c r="S51" i="8" s="1"/>
  <c r="T51" i="8" a="1"/>
  <c r="T51" i="8" s="1"/>
  <c r="U51" i="8" a="1"/>
  <c r="U51" i="8"/>
  <c r="V51" i="8" a="1"/>
  <c r="V51" i="8" s="1"/>
  <c r="P52" i="8" a="1"/>
  <c r="P52" i="8" s="1"/>
  <c r="Q52" i="8" a="1"/>
  <c r="Q52" i="8" s="1"/>
  <c r="R52" i="8" a="1"/>
  <c r="R52" i="8"/>
  <c r="S52" i="8" a="1"/>
  <c r="S52" i="8" s="1"/>
  <c r="T52" i="8" a="1"/>
  <c r="T52" i="8" s="1"/>
  <c r="U52" i="8" a="1"/>
  <c r="U52" i="8" s="1"/>
  <c r="V52" i="8" a="1"/>
  <c r="V52" i="8"/>
  <c r="P53" i="8" a="1"/>
  <c r="P53" i="8" s="1"/>
  <c r="Q53" i="8" a="1"/>
  <c r="Q53" i="8" s="1"/>
  <c r="R53" i="8" a="1"/>
  <c r="R53" i="8" s="1"/>
  <c r="S53" i="8" a="1"/>
  <c r="S53" i="8"/>
  <c r="T53" i="8" a="1"/>
  <c r="T53" i="8" s="1"/>
  <c r="U53" i="8" a="1"/>
  <c r="U53" i="8" s="1"/>
  <c r="V53" i="8" a="1"/>
  <c r="V53" i="8" s="1"/>
  <c r="P54" i="8" a="1"/>
  <c r="P54" i="8"/>
  <c r="Q54" i="8" a="1"/>
  <c r="Q54" i="8" s="1"/>
  <c r="R54" i="8" a="1"/>
  <c r="R54" i="8" s="1"/>
  <c r="S54" i="8" a="1"/>
  <c r="S54" i="8" s="1"/>
  <c r="T54" i="8" a="1"/>
  <c r="T54" i="8"/>
  <c r="U54" i="8" a="1"/>
  <c r="U54" i="8" s="1"/>
  <c r="V54" i="8" a="1"/>
  <c r="V54" i="8" s="1"/>
  <c r="P55" i="8" a="1"/>
  <c r="P55" i="8" s="1"/>
  <c r="Q55" i="8" a="1"/>
  <c r="Q55" i="8"/>
  <c r="R55" i="8" a="1"/>
  <c r="R55" i="8" s="1"/>
  <c r="S55" i="8" a="1"/>
  <c r="S55" i="8" s="1"/>
  <c r="T55" i="8" a="1"/>
  <c r="T55" i="8" s="1"/>
  <c r="U55" i="8" a="1"/>
  <c r="U55" i="8"/>
  <c r="V55" i="8" a="1"/>
  <c r="V55" i="8" s="1"/>
  <c r="P56" i="8" a="1"/>
  <c r="P56" i="8" s="1"/>
  <c r="Q56" i="8" a="1"/>
  <c r="Q56" i="8" s="1"/>
  <c r="R56" i="8" a="1"/>
  <c r="R56" i="8"/>
  <c r="S56" i="8" a="1"/>
  <c r="S56" i="8" s="1"/>
  <c r="T56" i="8" a="1"/>
  <c r="T56" i="8" s="1"/>
  <c r="U56" i="8" a="1"/>
  <c r="U56" i="8" s="1"/>
  <c r="V56" i="8" a="1"/>
  <c r="V56" i="8"/>
  <c r="P57" i="8" a="1"/>
  <c r="P57" i="8" s="1"/>
  <c r="Q57" i="8" a="1"/>
  <c r="Q57" i="8" s="1"/>
  <c r="R57" i="8" a="1"/>
  <c r="R57" i="8" s="1"/>
  <c r="S57" i="8" a="1"/>
  <c r="S57" i="8"/>
  <c r="T57" i="8" a="1"/>
  <c r="T57" i="8" s="1"/>
  <c r="U57" i="8" a="1"/>
  <c r="U57" i="8" s="1"/>
  <c r="V57" i="8" a="1"/>
  <c r="V57" i="8" s="1"/>
  <c r="P58" i="8" a="1"/>
  <c r="P58" i="8"/>
  <c r="Q58" i="8" a="1"/>
  <c r="Q58" i="8" s="1"/>
  <c r="R58" i="8" a="1"/>
  <c r="R58" i="8" s="1"/>
  <c r="S58" i="8" a="1"/>
  <c r="S58" i="8" s="1"/>
  <c r="T58" i="8" a="1"/>
  <c r="T58" i="8"/>
  <c r="U58" i="8" a="1"/>
  <c r="U58" i="8" s="1"/>
  <c r="V58" i="8" a="1"/>
  <c r="V58" i="8" s="1"/>
  <c r="P59" i="8" a="1"/>
  <c r="P59" i="8" s="1"/>
  <c r="Q59" i="8" a="1"/>
  <c r="Q59" i="8"/>
  <c r="R59" i="8" a="1"/>
  <c r="R59" i="8" s="1"/>
  <c r="S59" i="8" a="1"/>
  <c r="S59" i="8" s="1"/>
  <c r="T59" i="8" a="1"/>
  <c r="T59" i="8" s="1"/>
  <c r="U59" i="8" a="1"/>
  <c r="U59" i="8"/>
  <c r="V59" i="8" a="1"/>
  <c r="V59" i="8" s="1"/>
  <c r="Q37" i="8" a="1"/>
  <c r="Q37" i="8" s="1"/>
  <c r="R37" i="8" a="1"/>
  <c r="R37" i="8"/>
  <c r="S37" i="8" a="1"/>
  <c r="S37" i="8" s="1"/>
  <c r="T37" i="8" a="1"/>
  <c r="T37" i="8" s="1"/>
  <c r="U37" i="8" a="1"/>
  <c r="U37" i="8" s="1"/>
  <c r="V37" i="8" a="1"/>
  <c r="V37" i="8"/>
  <c r="P38" i="8" a="1"/>
  <c r="P38" i="8"/>
  <c r="Q38" i="8" a="1"/>
  <c r="Q38" i="8" s="1"/>
  <c r="R38" i="8" a="1"/>
  <c r="R38" i="8" s="1"/>
  <c r="S38" i="8" a="1"/>
  <c r="S38" i="8"/>
  <c r="T38" i="8" a="1"/>
  <c r="T38" i="8"/>
  <c r="U38" i="8" a="1"/>
  <c r="U38" i="8" s="1"/>
  <c r="V38" i="8" a="1"/>
  <c r="V38" i="8" s="1"/>
  <c r="P39" i="8" a="1"/>
  <c r="P39" i="8"/>
  <c r="Q39" i="8" a="1"/>
  <c r="Q39" i="8"/>
  <c r="R39" i="8" a="1"/>
  <c r="R39" i="8" s="1"/>
  <c r="S39" i="8" a="1"/>
  <c r="S39" i="8" s="1"/>
  <c r="T39" i="8" a="1"/>
  <c r="T39" i="8"/>
  <c r="U39" i="8" a="1"/>
  <c r="U39" i="8"/>
  <c r="V39" i="8" a="1"/>
  <c r="V39" i="8" s="1"/>
  <c r="P40" i="8" a="1"/>
  <c r="P40" i="8" s="1"/>
  <c r="Q40" i="8" a="1"/>
  <c r="Q40" i="8"/>
  <c r="R40" i="8" a="1"/>
  <c r="R40" i="8"/>
  <c r="S40" i="8" a="1"/>
  <c r="S40" i="8" s="1"/>
  <c r="T40" i="8" a="1"/>
  <c r="T40" i="8" s="1"/>
  <c r="U40" i="8" a="1"/>
  <c r="U40" i="8"/>
  <c r="V40" i="8" a="1"/>
  <c r="V40" i="8"/>
  <c r="P41" i="8" a="1"/>
  <c r="P41" i="8" s="1"/>
  <c r="Q41" i="8" a="1"/>
  <c r="Q41" i="8" s="1"/>
  <c r="R41" i="8" a="1"/>
  <c r="R41" i="8"/>
  <c r="S41" i="8" a="1"/>
  <c r="S41" i="8"/>
  <c r="T41" i="8" a="1"/>
  <c r="T41" i="8" s="1"/>
  <c r="U41" i="8" a="1"/>
  <c r="U41" i="8" s="1"/>
  <c r="V41" i="8" a="1"/>
  <c r="V41" i="8"/>
  <c r="P42" i="8" a="1"/>
  <c r="P42" i="8"/>
  <c r="Q42" i="8" a="1"/>
  <c r="Q42" i="8" s="1"/>
  <c r="R42" i="8" a="1"/>
  <c r="R42" i="8" s="1"/>
  <c r="S42" i="8" a="1"/>
  <c r="S42" i="8"/>
  <c r="T42" i="8" a="1"/>
  <c r="T42" i="8"/>
  <c r="U42" i="8" a="1"/>
  <c r="U42" i="8" s="1"/>
  <c r="V42" i="8" a="1"/>
  <c r="V42" i="8" s="1"/>
  <c r="P43" i="8" a="1"/>
  <c r="P43" i="8"/>
  <c r="Q43" i="8" a="1"/>
  <c r="Q43" i="8"/>
  <c r="R43" i="8" a="1"/>
  <c r="R43" i="8" s="1"/>
  <c r="S43" i="8" a="1"/>
  <c r="S43" i="8" s="1"/>
  <c r="T43" i="8" a="1"/>
  <c r="T43" i="8"/>
  <c r="U43" i="8" a="1"/>
  <c r="U43" i="8"/>
  <c r="V43" i="8" a="1"/>
  <c r="V43" i="8" s="1"/>
  <c r="P44" i="8" a="1"/>
  <c r="P44" i="8" s="1"/>
  <c r="Q44" i="8" a="1"/>
  <c r="Q44" i="8"/>
  <c r="R44" i="8" a="1"/>
  <c r="R44" i="8"/>
  <c r="S44" i="8" a="1"/>
  <c r="S44" i="8" s="1"/>
  <c r="T44" i="8" a="1"/>
  <c r="T44" i="8" s="1"/>
  <c r="U44" i="8" a="1"/>
  <c r="U44" i="8"/>
  <c r="V44" i="8" a="1"/>
  <c r="V44" i="8"/>
  <c r="Q36" i="8" a="1"/>
  <c r="Q36" i="8"/>
  <c r="R36" i="8" a="1"/>
  <c r="R36" i="8" s="1"/>
  <c r="S36" i="8" a="1"/>
  <c r="S36" i="8" s="1"/>
  <c r="T36" i="8" a="1"/>
  <c r="T36" i="8"/>
  <c r="U36" i="8" a="1"/>
  <c r="U36" i="8" s="1"/>
  <c r="V36" i="8" a="1"/>
  <c r="V36" i="8"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G15" i="9"/>
  <c r="F17" i="9"/>
  <c r="F15" i="9"/>
  <c r="F13" i="9"/>
  <c r="K2" i="4"/>
  <c r="K3" i="4"/>
  <c r="K4" i="4"/>
  <c r="K5" i="4"/>
  <c r="K6"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J2" i="4"/>
  <c r="L2" i="4" s="1"/>
  <c r="J3" i="4"/>
  <c r="L3" i="4" s="1"/>
  <c r="J4" i="4"/>
  <c r="L4" i="4" s="1"/>
  <c r="J5" i="4"/>
  <c r="L5" i="4" s="1"/>
  <c r="J6" i="4"/>
  <c r="L6" i="4" s="1"/>
  <c r="J7" i="4"/>
  <c r="L7" i="4" s="1"/>
  <c r="J8" i="4"/>
  <c r="L8" i="4" s="1"/>
  <c r="J9" i="4"/>
  <c r="L9" i="4" s="1"/>
  <c r="J10" i="4"/>
  <c r="L10" i="4" s="1"/>
  <c r="J11" i="4"/>
  <c r="L11" i="4" s="1"/>
  <c r="J12" i="4"/>
  <c r="L12" i="4" s="1"/>
  <c r="J13" i="4"/>
  <c r="L13" i="4" s="1"/>
  <c r="J14" i="4"/>
  <c r="L14" i="4" s="1"/>
  <c r="J15" i="4"/>
  <c r="L15" i="4" s="1"/>
  <c r="J16" i="4"/>
  <c r="L16" i="4" s="1"/>
  <c r="J17" i="4"/>
  <c r="L17" i="4" s="1"/>
  <c r="J18" i="4"/>
  <c r="L18" i="4" s="1"/>
  <c r="J19" i="4"/>
  <c r="L19" i="4" s="1"/>
  <c r="J20" i="4"/>
  <c r="L20" i="4" s="1"/>
  <c r="J21" i="4"/>
  <c r="L21" i="4" s="1"/>
  <c r="J22" i="4"/>
  <c r="L22" i="4" s="1"/>
  <c r="J23" i="4"/>
  <c r="L23" i="4" s="1"/>
  <c r="J24" i="4"/>
  <c r="L24" i="4" s="1"/>
  <c r="J25" i="4"/>
  <c r="L25" i="4" s="1"/>
  <c r="J26" i="4"/>
  <c r="L26" i="4" s="1"/>
  <c r="J27" i="4"/>
  <c r="L27" i="4" s="1"/>
  <c r="J28" i="4"/>
  <c r="L28" i="4" s="1"/>
  <c r="J29" i="4"/>
  <c r="L29" i="4" s="1"/>
  <c r="J30" i="4"/>
  <c r="L30" i="4" s="1"/>
  <c r="J31" i="4"/>
  <c r="L31" i="4" s="1"/>
  <c r="J32" i="4"/>
  <c r="L32" i="4" s="1"/>
  <c r="J33" i="4"/>
  <c r="L33" i="4" s="1"/>
  <c r="J34" i="4"/>
  <c r="L34" i="4" s="1"/>
  <c r="J35" i="4"/>
  <c r="L35" i="4" s="1"/>
  <c r="J36" i="4"/>
  <c r="L36" i="4" s="1"/>
  <c r="J37" i="4"/>
  <c r="L37" i="4" s="1"/>
  <c r="J38" i="4"/>
  <c r="L38" i="4" s="1"/>
  <c r="J39" i="4"/>
  <c r="L39" i="4" s="1"/>
  <c r="J40" i="4"/>
  <c r="L40" i="4" s="1"/>
  <c r="J41" i="4"/>
  <c r="L41" i="4" s="1"/>
  <c r="J42" i="4"/>
  <c r="L42" i="4" s="1"/>
  <c r="J43" i="4"/>
  <c r="L43" i="4" s="1"/>
  <c r="J44" i="4"/>
  <c r="L44" i="4" s="1"/>
  <c r="J45" i="4"/>
  <c r="L45" i="4" s="1"/>
  <c r="J46" i="4"/>
  <c r="L46" i="4" s="1"/>
  <c r="J47" i="4"/>
  <c r="L47" i="4" s="1"/>
  <c r="J48" i="4"/>
  <c r="L48" i="4" s="1"/>
  <c r="J49" i="4"/>
  <c r="L49" i="4" s="1"/>
  <c r="J50" i="4"/>
  <c r="L50" i="4" s="1"/>
  <c r="J51" i="4"/>
  <c r="L51" i="4" s="1"/>
  <c r="J52" i="4"/>
  <c r="L52" i="4" s="1"/>
  <c r="J53" i="4"/>
  <c r="L53" i="4" s="1"/>
  <c r="J54" i="4"/>
  <c r="L54" i="4" s="1"/>
  <c r="J55" i="4"/>
  <c r="L55" i="4" s="1"/>
  <c r="J56" i="4"/>
  <c r="L56" i="4" s="1"/>
  <c r="J57" i="4"/>
  <c r="L57" i="4" s="1"/>
  <c r="J58" i="4"/>
  <c r="L58" i="4" s="1"/>
  <c r="J59" i="4"/>
  <c r="L59" i="4" s="1"/>
  <c r="J60" i="4"/>
  <c r="L60" i="4" s="1"/>
  <c r="J61" i="4"/>
  <c r="L61" i="4" s="1"/>
  <c r="J62" i="4"/>
  <c r="L62" i="4" s="1"/>
  <c r="J63" i="4"/>
  <c r="L63" i="4" s="1"/>
  <c r="J64" i="4"/>
  <c r="L64" i="4" s="1"/>
  <c r="J65" i="4"/>
  <c r="L65" i="4" s="1"/>
  <c r="J66" i="4"/>
  <c r="L66" i="4" s="1"/>
  <c r="J67" i="4"/>
  <c r="L67" i="4" s="1"/>
  <c r="J68" i="4"/>
  <c r="L68" i="4" s="1"/>
  <c r="J69" i="4"/>
  <c r="L69" i="4" s="1"/>
  <c r="J70" i="4"/>
  <c r="L70" i="4" s="1"/>
  <c r="J71" i="4"/>
  <c r="L71" i="4" s="1"/>
  <c r="J72" i="4"/>
  <c r="L72" i="4" s="1"/>
  <c r="J73" i="4"/>
  <c r="L73" i="4" s="1"/>
  <c r="J74" i="4"/>
  <c r="L74" i="4" s="1"/>
  <c r="J75" i="4"/>
  <c r="L75" i="4" s="1"/>
  <c r="J76" i="4"/>
  <c r="L76" i="4" s="1"/>
  <c r="J77" i="4"/>
  <c r="L77" i="4" s="1"/>
  <c r="J78" i="4"/>
  <c r="L78" i="4" s="1"/>
  <c r="J79" i="4"/>
  <c r="L79" i="4" s="1"/>
  <c r="J80" i="4"/>
  <c r="L80" i="4" s="1"/>
  <c r="J81" i="4"/>
  <c r="L81" i="4" s="1"/>
  <c r="J82" i="4"/>
  <c r="L82" i="4" s="1"/>
  <c r="J83" i="4"/>
  <c r="L83" i="4" s="1"/>
  <c r="J84" i="4"/>
  <c r="L84" i="4" s="1"/>
  <c r="J85" i="4"/>
  <c r="L85" i="4" s="1"/>
  <c r="J86" i="4"/>
  <c r="L86" i="4" s="1"/>
  <c r="J87" i="4"/>
  <c r="L87" i="4" s="1"/>
  <c r="J88" i="4"/>
  <c r="L88" i="4" s="1"/>
  <c r="J89" i="4"/>
  <c r="L89" i="4" s="1"/>
  <c r="J90" i="4"/>
  <c r="L90" i="4" s="1"/>
  <c r="J91" i="4"/>
  <c r="L91" i="4" s="1"/>
  <c r="J92" i="4"/>
  <c r="L92" i="4" s="1"/>
  <c r="J93" i="4"/>
  <c r="L93" i="4" s="1"/>
  <c r="J94" i="4"/>
  <c r="L94" i="4" s="1"/>
  <c r="J95" i="4"/>
  <c r="L95" i="4" s="1"/>
  <c r="J96" i="4"/>
  <c r="L96" i="4" s="1"/>
  <c r="J97" i="4"/>
  <c r="L97" i="4" s="1"/>
  <c r="J98" i="4"/>
  <c r="L98" i="4" s="1"/>
  <c r="J99" i="4"/>
  <c r="L99" i="4" s="1"/>
  <c r="J100" i="4"/>
  <c r="L100" i="4" s="1"/>
  <c r="J101" i="4"/>
  <c r="L101" i="4" s="1"/>
  <c r="J102" i="4"/>
  <c r="L102" i="4" s="1"/>
  <c r="J103" i="4"/>
  <c r="L103" i="4" s="1"/>
  <c r="J104" i="4"/>
  <c r="L104" i="4" s="1"/>
  <c r="J105" i="4"/>
  <c r="L105" i="4" s="1"/>
  <c r="J106" i="4"/>
  <c r="L106" i="4" s="1"/>
  <c r="J107" i="4"/>
  <c r="L107" i="4" s="1"/>
  <c r="J108" i="4"/>
  <c r="L108" i="4" s="1"/>
  <c r="J109" i="4"/>
  <c r="L109" i="4" s="1"/>
  <c r="J110" i="4"/>
  <c r="L110" i="4" s="1"/>
  <c r="J111" i="4"/>
  <c r="L111" i="4" s="1"/>
  <c r="J112" i="4"/>
  <c r="L112" i="4" s="1"/>
  <c r="J113" i="4"/>
  <c r="L113" i="4" s="1"/>
  <c r="J114" i="4"/>
  <c r="L114" i="4" s="1"/>
  <c r="J115" i="4"/>
  <c r="L115" i="4" s="1"/>
  <c r="J116" i="4"/>
  <c r="L116" i="4" s="1"/>
  <c r="J117" i="4"/>
  <c r="L117" i="4" s="1"/>
  <c r="J118" i="4"/>
  <c r="L118" i="4" s="1"/>
  <c r="J119" i="4"/>
  <c r="L119" i="4" s="1"/>
  <c r="J120" i="4"/>
  <c r="L120" i="4" s="1"/>
  <c r="J121" i="4"/>
  <c r="L121" i="4" s="1"/>
  <c r="J122" i="4"/>
  <c r="L122" i="4" s="1"/>
  <c r="J123" i="4"/>
  <c r="L123" i="4" s="1"/>
  <c r="J124" i="4"/>
  <c r="L124" i="4" s="1"/>
  <c r="J125" i="4"/>
  <c r="L125" i="4" s="1"/>
  <c r="J126" i="4"/>
  <c r="L126" i="4" s="1"/>
  <c r="J127" i="4"/>
  <c r="L127" i="4" s="1"/>
  <c r="J128" i="4"/>
  <c r="L128" i="4" s="1"/>
  <c r="J129" i="4"/>
  <c r="L129" i="4" s="1"/>
  <c r="J130" i="4"/>
  <c r="L130" i="4" s="1"/>
  <c r="J131" i="4"/>
  <c r="L131" i="4" s="1"/>
  <c r="J132" i="4"/>
  <c r="L132" i="4" s="1"/>
  <c r="J133" i="4"/>
  <c r="L133" i="4" s="1"/>
  <c r="J134" i="4"/>
  <c r="L134" i="4" s="1"/>
  <c r="J135" i="4"/>
  <c r="L135" i="4" s="1"/>
  <c r="J136" i="4"/>
  <c r="L136" i="4" s="1"/>
  <c r="J137" i="4"/>
  <c r="L137" i="4" s="1"/>
  <c r="J138" i="4"/>
  <c r="L138" i="4" s="1"/>
  <c r="J139" i="4"/>
  <c r="L139" i="4" s="1"/>
  <c r="J140" i="4"/>
  <c r="L140" i="4" s="1"/>
  <c r="J141" i="4"/>
  <c r="L141" i="4" s="1"/>
  <c r="J142" i="4"/>
  <c r="L142" i="4" s="1"/>
  <c r="J143" i="4"/>
  <c r="L143" i="4" s="1"/>
  <c r="J144" i="4"/>
  <c r="L144" i="4" s="1"/>
  <c r="J145" i="4"/>
  <c r="L145" i="4" s="1"/>
  <c r="J146" i="4"/>
  <c r="L146" i="4" s="1"/>
  <c r="J147" i="4"/>
  <c r="L147" i="4" s="1"/>
  <c r="J148" i="4"/>
  <c r="L148" i="4" s="1"/>
  <c r="J149" i="4"/>
  <c r="L149" i="4" s="1"/>
  <c r="J150" i="4"/>
  <c r="L150" i="4" s="1"/>
  <c r="J151" i="4"/>
  <c r="L151" i="4" s="1"/>
  <c r="J152" i="4"/>
  <c r="L152" i="4" s="1"/>
  <c r="J153" i="4"/>
  <c r="L153" i="4" s="1"/>
  <c r="J154" i="4"/>
  <c r="L154" i="4" s="1"/>
  <c r="J155" i="4"/>
  <c r="L155" i="4" s="1"/>
  <c r="J156" i="4"/>
  <c r="L156" i="4" s="1"/>
  <c r="J157" i="4"/>
  <c r="L157" i="4" s="1"/>
  <c r="J158" i="4"/>
  <c r="L158" i="4" s="1"/>
  <c r="J159" i="4"/>
  <c r="L159" i="4" s="1"/>
  <c r="J160" i="4"/>
  <c r="L160" i="4" s="1"/>
  <c r="J161" i="4"/>
  <c r="L161" i="4" s="1"/>
  <c r="J162" i="4"/>
  <c r="L162" i="4" s="1"/>
  <c r="J163" i="4"/>
  <c r="L163" i="4" s="1"/>
  <c r="J164" i="4"/>
  <c r="L164" i="4" s="1"/>
  <c r="J165" i="4"/>
  <c r="L165" i="4" s="1"/>
  <c r="J166" i="4"/>
  <c r="L166" i="4" s="1"/>
  <c r="J167" i="4"/>
  <c r="L167" i="4" s="1"/>
  <c r="J168" i="4"/>
  <c r="L168" i="4" s="1"/>
  <c r="J169" i="4"/>
  <c r="L169" i="4" s="1"/>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E2" i="3"/>
  <c r="G2" i="3" s="1"/>
  <c r="E3" i="3"/>
  <c r="G3" i="3" s="1"/>
  <c r="E4" i="3"/>
  <c r="G4" i="3" s="1"/>
  <c r="E5" i="3"/>
  <c r="G5" i="3" s="1"/>
  <c r="E6" i="3"/>
  <c r="G6" i="3" s="1"/>
  <c r="E7" i="3"/>
  <c r="G7" i="3" s="1"/>
  <c r="E8" i="3"/>
  <c r="G8" i="3" s="1"/>
  <c r="E9" i="3"/>
  <c r="G9" i="3" s="1"/>
  <c r="E10" i="3"/>
  <c r="G10" i="3" s="1"/>
  <c r="E11" i="3"/>
  <c r="G11" i="3" s="1"/>
  <c r="E12" i="3"/>
  <c r="G12" i="3" s="1"/>
  <c r="E13" i="3"/>
  <c r="G13" i="3" s="1"/>
  <c r="E14" i="3"/>
  <c r="G14" i="3" s="1"/>
  <c r="E15" i="3"/>
  <c r="G15" i="3" s="1"/>
  <c r="E16" i="3"/>
  <c r="G16" i="3" s="1"/>
  <c r="E17" i="3"/>
  <c r="G17" i="3" s="1"/>
  <c r="E18" i="3"/>
  <c r="G18" i="3" s="1"/>
  <c r="E19" i="3"/>
  <c r="G19" i="3" s="1"/>
  <c r="E20" i="3"/>
  <c r="G20" i="3" s="1"/>
  <c r="E21" i="3"/>
  <c r="G21" i="3" s="1"/>
  <c r="E22" i="3"/>
  <c r="G22" i="3" s="1"/>
  <c r="E23" i="3"/>
  <c r="G23" i="3" s="1"/>
  <c r="E24" i="3"/>
  <c r="G24" i="3" s="1"/>
  <c r="E25" i="3"/>
  <c r="G25" i="3" s="1"/>
  <c r="E26" i="3"/>
  <c r="G26" i="3" s="1"/>
  <c r="E27" i="3"/>
  <c r="G27" i="3" s="1"/>
  <c r="E28" i="3"/>
  <c r="G28" i="3" s="1"/>
  <c r="E29" i="3"/>
  <c r="G29" i="3" s="1"/>
  <c r="E30" i="3"/>
  <c r="G30" i="3" s="1"/>
  <c r="E31" i="3"/>
  <c r="G31" i="3" s="1"/>
  <c r="E32" i="3"/>
  <c r="G32" i="3" s="1"/>
  <c r="E33" i="3"/>
  <c r="G33" i="3" s="1"/>
  <c r="E34" i="3"/>
  <c r="G34" i="3" s="1"/>
  <c r="E35" i="3"/>
  <c r="G35" i="3" s="1"/>
  <c r="E36" i="3"/>
  <c r="G36" i="3" s="1"/>
  <c r="E37" i="3"/>
  <c r="G37" i="3" s="1"/>
  <c r="E38" i="3"/>
  <c r="G38" i="3" s="1"/>
  <c r="E39" i="3"/>
  <c r="G39" i="3" s="1"/>
  <c r="E40" i="3"/>
  <c r="G40" i="3" s="1"/>
  <c r="E41" i="3"/>
  <c r="G41" i="3" s="1"/>
  <c r="E42" i="3"/>
  <c r="G42" i="3" s="1"/>
  <c r="E43" i="3"/>
  <c r="G43" i="3" s="1"/>
  <c r="E44" i="3"/>
  <c r="G44" i="3" s="1"/>
  <c r="E45" i="3"/>
  <c r="G45" i="3" s="1"/>
  <c r="E46" i="3"/>
  <c r="G46" i="3" s="1"/>
  <c r="E47" i="3"/>
  <c r="G47" i="3" s="1"/>
  <c r="E48" i="3"/>
  <c r="G48" i="3" s="1"/>
  <c r="E49" i="3"/>
  <c r="G49" i="3" s="1"/>
  <c r="E50" i="3"/>
  <c r="G50" i="3" s="1"/>
  <c r="E51" i="3"/>
  <c r="G51" i="3" s="1"/>
  <c r="E52" i="3"/>
  <c r="G52" i="3" s="1"/>
  <c r="E53" i="3"/>
  <c r="G53" i="3" s="1"/>
  <c r="E54" i="3"/>
  <c r="G54" i="3" s="1"/>
  <c r="E55" i="3"/>
  <c r="G55" i="3" s="1"/>
  <c r="E56" i="3"/>
  <c r="G56" i="3" s="1"/>
  <c r="E57" i="3"/>
  <c r="G57" i="3" s="1"/>
  <c r="E58" i="3"/>
  <c r="G58" i="3" s="1"/>
  <c r="E59" i="3"/>
  <c r="G59" i="3" s="1"/>
  <c r="E60" i="3"/>
  <c r="G60" i="3" s="1"/>
  <c r="E61" i="3"/>
  <c r="G61" i="3" s="1"/>
  <c r="E62" i="3"/>
  <c r="G62" i="3" s="1"/>
  <c r="E63" i="3"/>
  <c r="G63" i="3" s="1"/>
  <c r="E64" i="3"/>
  <c r="G64" i="3" s="1"/>
  <c r="E65" i="3"/>
  <c r="G65" i="3" s="1"/>
  <c r="E66" i="3"/>
  <c r="G66" i="3" s="1"/>
  <c r="E67" i="3"/>
  <c r="G67" i="3" s="1"/>
  <c r="E68" i="3"/>
  <c r="G68" i="3" s="1"/>
  <c r="E69" i="3"/>
  <c r="G69" i="3" s="1"/>
  <c r="E70" i="3"/>
  <c r="G70" i="3" s="1"/>
  <c r="E71" i="3"/>
  <c r="G71" i="3" s="1"/>
  <c r="E72" i="3"/>
  <c r="G72" i="3" s="1"/>
  <c r="E73" i="3"/>
  <c r="G73" i="3" s="1"/>
  <c r="E74" i="3"/>
  <c r="G74" i="3" s="1"/>
  <c r="E75" i="3"/>
  <c r="G75" i="3" s="1"/>
  <c r="E76" i="3"/>
  <c r="G76" i="3" s="1"/>
  <c r="E77" i="3"/>
  <c r="G77" i="3" s="1"/>
  <c r="E78" i="3"/>
  <c r="G78" i="3" s="1"/>
  <c r="E79" i="3"/>
  <c r="G79" i="3" s="1"/>
  <c r="E80" i="3"/>
  <c r="G80" i="3" s="1"/>
  <c r="E81" i="3"/>
  <c r="G81" i="3" s="1"/>
  <c r="E82" i="3"/>
  <c r="G82" i="3" s="1"/>
  <c r="E83" i="3"/>
  <c r="G83" i="3" s="1"/>
  <c r="E84" i="3"/>
  <c r="G84" i="3" s="1"/>
  <c r="E85" i="3"/>
  <c r="G85" i="3" s="1"/>
  <c r="E86" i="3"/>
  <c r="G86" i="3" s="1"/>
  <c r="E87" i="3"/>
  <c r="G87" i="3" s="1"/>
  <c r="E88" i="3"/>
  <c r="G88" i="3" s="1"/>
  <c r="E89" i="3"/>
  <c r="G89" i="3" s="1"/>
  <c r="E90" i="3"/>
  <c r="G90" i="3" s="1"/>
  <c r="E91" i="3"/>
  <c r="G91" i="3" s="1"/>
  <c r="E92" i="3"/>
  <c r="G92" i="3" s="1"/>
  <c r="E93" i="3"/>
  <c r="G93" i="3" s="1"/>
  <c r="E94" i="3"/>
  <c r="G94" i="3" s="1"/>
  <c r="E95" i="3"/>
  <c r="G95" i="3" s="1"/>
  <c r="E96" i="3"/>
  <c r="G96" i="3" s="1"/>
  <c r="E97" i="3"/>
  <c r="G97" i="3" s="1"/>
  <c r="E98" i="3"/>
  <c r="G98" i="3" s="1"/>
  <c r="E99" i="3"/>
  <c r="G99" i="3" s="1"/>
  <c r="E100" i="3"/>
  <c r="G100" i="3" s="1"/>
  <c r="E101" i="3"/>
  <c r="G101" i="3" s="1"/>
  <c r="E102" i="3"/>
  <c r="G102" i="3" s="1"/>
  <c r="E103" i="3"/>
  <c r="G103" i="3" s="1"/>
  <c r="E104" i="3"/>
  <c r="G104" i="3" s="1"/>
  <c r="E105" i="3"/>
  <c r="G105" i="3" s="1"/>
  <c r="E106" i="3"/>
  <c r="G106" i="3" s="1"/>
  <c r="E107" i="3"/>
  <c r="G107" i="3" s="1"/>
  <c r="E108" i="3"/>
  <c r="G108" i="3" s="1"/>
  <c r="E109" i="3"/>
  <c r="G109" i="3" s="1"/>
  <c r="E110" i="3"/>
  <c r="G110" i="3" s="1"/>
  <c r="E111" i="3"/>
  <c r="G111" i="3" s="1"/>
  <c r="E112" i="3"/>
  <c r="G112" i="3" s="1"/>
  <c r="E113" i="3"/>
  <c r="G113" i="3" s="1"/>
  <c r="E114" i="3"/>
  <c r="G114" i="3" s="1"/>
  <c r="E115" i="3"/>
  <c r="G115" i="3" s="1"/>
  <c r="E116" i="3"/>
  <c r="G116" i="3" s="1"/>
  <c r="E117" i="3"/>
  <c r="G117" i="3" s="1"/>
  <c r="E118" i="3"/>
  <c r="G118" i="3" s="1"/>
  <c r="E119" i="3"/>
  <c r="G119" i="3" s="1"/>
  <c r="E120" i="3"/>
  <c r="G120" i="3" s="1"/>
  <c r="E121" i="3"/>
  <c r="G121" i="3" s="1"/>
  <c r="E122" i="3"/>
  <c r="G122" i="3" s="1"/>
  <c r="E123" i="3"/>
  <c r="G123" i="3" s="1"/>
  <c r="E124" i="3"/>
  <c r="G124" i="3" s="1"/>
  <c r="E125" i="3"/>
  <c r="G125" i="3" s="1"/>
  <c r="E126" i="3"/>
  <c r="G126" i="3" s="1"/>
  <c r="E127" i="3"/>
  <c r="G127" i="3" s="1"/>
  <c r="E128" i="3"/>
  <c r="G128" i="3" s="1"/>
  <c r="E129" i="3"/>
  <c r="G129" i="3" s="1"/>
  <c r="E130" i="3"/>
  <c r="G130" i="3" s="1"/>
  <c r="E131" i="3"/>
  <c r="G131" i="3" s="1"/>
  <c r="E132" i="3"/>
  <c r="G132" i="3" s="1"/>
  <c r="E133" i="3"/>
  <c r="G133" i="3" s="1"/>
  <c r="E134" i="3"/>
  <c r="G134" i="3" s="1"/>
  <c r="E135" i="3"/>
  <c r="G135" i="3" s="1"/>
  <c r="E136" i="3"/>
  <c r="G136" i="3" s="1"/>
  <c r="E137" i="3"/>
  <c r="G137" i="3" s="1"/>
  <c r="E138" i="3"/>
  <c r="G138" i="3" s="1"/>
  <c r="E139" i="3"/>
  <c r="G139" i="3" s="1"/>
  <c r="E140" i="3"/>
  <c r="G140" i="3" s="1"/>
  <c r="E141" i="3"/>
  <c r="G141" i="3" s="1"/>
  <c r="E142" i="3"/>
  <c r="G142" i="3" s="1"/>
  <c r="E143" i="3"/>
  <c r="G143" i="3" s="1"/>
  <c r="E144" i="3"/>
  <c r="G144" i="3" s="1"/>
  <c r="E145" i="3"/>
  <c r="G145" i="3" s="1"/>
  <c r="E146" i="3"/>
  <c r="G146" i="3" s="1"/>
  <c r="E147" i="3"/>
  <c r="G147" i="3" s="1"/>
  <c r="E148" i="3"/>
  <c r="G148" i="3" s="1"/>
  <c r="E149" i="3"/>
  <c r="G149" i="3" s="1"/>
  <c r="E150" i="3"/>
  <c r="G150" i="3" s="1"/>
  <c r="E151" i="3"/>
  <c r="G151" i="3" s="1"/>
  <c r="E152" i="3"/>
  <c r="G152" i="3" s="1"/>
  <c r="E153" i="3"/>
  <c r="G153" i="3" s="1"/>
  <c r="E154" i="3"/>
  <c r="G154" i="3" s="1"/>
  <c r="E155" i="3"/>
  <c r="G155" i="3" s="1"/>
  <c r="E156" i="3"/>
  <c r="G156" i="3" s="1"/>
  <c r="E157" i="3"/>
  <c r="G157" i="3" s="1"/>
  <c r="E158" i="3"/>
  <c r="G158" i="3" s="1"/>
  <c r="E159" i="3"/>
  <c r="G159" i="3" s="1"/>
  <c r="E160" i="3"/>
  <c r="G160" i="3" s="1"/>
  <c r="E161" i="3"/>
  <c r="G161" i="3" s="1"/>
  <c r="E162" i="3"/>
  <c r="G162" i="3" s="1"/>
  <c r="E163" i="3"/>
  <c r="G163" i="3" s="1"/>
  <c r="E164" i="3"/>
  <c r="G164" i="3" s="1"/>
  <c r="E165" i="3"/>
  <c r="G165" i="3" s="1"/>
  <c r="E166" i="3"/>
  <c r="G166" i="3" s="1"/>
  <c r="E167" i="3"/>
  <c r="G167" i="3" s="1"/>
  <c r="E168" i="3"/>
  <c r="G168" i="3" s="1"/>
  <c r="E169" i="3"/>
  <c r="G169"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<sst xmlns="http://schemas.openxmlformats.org/spreadsheetml/2006/main" count="682" uniqueCount="286">
  <si>
    <t>Instructions</t>
  </si>
  <si>
    <t>Important part of our business is a supply/demand balance. We can’t control demand but we can shift some supply to necessary hours to cover more demand during peaks. As part of the task you will have sample supply and demand data over a week in a single city a few days after launch.</t>
  </si>
  <si>
    <t>Needed output:</t>
  </si>
  <si>
    <t>1) Calculate the total number of unique searches with 100% coverage and illustrate the unique searches.</t>
  </si>
  <si>
    <t>2) Illustate in a chart the demand and supply throughout the week.</t>
  </si>
  <si>
    <t>3) In a form of a 24x7 grid (hour-weekday grid), visualize a coverage heatmap.</t>
  </si>
  <si>
    <t>4) If it was possible to introduce higher pricing during specific hours to increase supply and decrease demand, what weekly schedule of price multipliers would you choose? Visualise in a heatmap and provide specific multipliers.</t>
  </si>
  <si>
    <t>5) Find the 5-hour period (consecutive hours) with highest demand and calculate how much we can spend on driver incentives, given that we want to re-invest all the revenue received in this timeframe. Assume that Finished Rides have the average value of €10 and our commission is 20%.</t>
  </si>
  <si>
    <t>6) Estimate the number of weekly trips we could have done (finished) with maximum Coverage Ratio.</t>
  </si>
  <si>
    <t>7) Find the 5 most utilized hours of the week (not necessarily consecutive), and calculate the sum of trips finished in these 5 hours. Explain how you understand the concept of driver utilization rate.</t>
  </si>
  <si>
    <t>Searches - Details</t>
  </si>
  <si>
    <t>Activity - Details:</t>
  </si>
  <si>
    <t>Shows how many people saw a car in app when setting the pickup marker on the map. If you saw a car at one point and did not see a car later, you are counted in both columns in that period.</t>
  </si>
  <si>
    <t>Hourly driver activity data for 1 full week from 2016-11-07 until 2016-11-13</t>
  </si>
  <si>
    <t>Fields</t>
  </si>
  <si>
    <t>Date – date + hour for which the row of data is presented</t>
  </si>
  <si>
    <t>Date – date and hour for which the row of data is presented</t>
  </si>
  <si>
    <t xml:space="preserve">People saw 0 cars (unique) – number of users who did not see a car.     
</t>
  </si>
  <si>
    <t>Active drivers – number of active drivers (any level of activity) available during time period</t>
  </si>
  <si>
    <t>People saw +1 cars (unique) – number of users who saw a car.</t>
  </si>
  <si>
    <t>Online (h) – total supply hours that were available during time period</t>
  </si>
  <si>
    <t>Coverage Ratio (unique) – % of users who saw a car.</t>
  </si>
  <si>
    <t>Has booking (h) – total hours during which drivers had a client booking (any state)</t>
  </si>
  <si>
    <t>Waiting for booking (h) – total hours which drivers spent waiting for booking</t>
  </si>
  <si>
    <t>Note: the data is sorted with more recent data first</t>
  </si>
  <si>
    <t>Busy (h) – total hours which drivers were not available to take orders in (coffee breaks etc.)</t>
  </si>
  <si>
    <t>Hours per active driver – average number of hours each driver was online during time period</t>
  </si>
  <si>
    <t>Rides per online hour – aka RPH – avg. finished trips per online hour during period</t>
  </si>
  <si>
    <t>Finished Rides – number of finished trips during period</t>
  </si>
  <si>
    <t>Date</t>
  </si>
  <si>
    <t>People saw 0 cars (unique)</t>
  </si>
  <si>
    <t>People saw +1 cars (unique)</t>
  </si>
  <si>
    <t>Coverage Ratio (unique)</t>
  </si>
  <si>
    <t>2016-11-13 23</t>
  </si>
  <si>
    <t>2016-11-13 22</t>
  </si>
  <si>
    <t>2016-11-13 21</t>
  </si>
  <si>
    <t>2016-11-13 20</t>
  </si>
  <si>
    <t>2016-11-13 19</t>
  </si>
  <si>
    <t>2016-11-13 18</t>
  </si>
  <si>
    <t>2016-11-13 17</t>
  </si>
  <si>
    <t>2016-11-13 16</t>
  </si>
  <si>
    <t>2016-11-13 15</t>
  </si>
  <si>
    <t>2016-11-13 14</t>
  </si>
  <si>
    <t>2016-11-13 13</t>
  </si>
  <si>
    <t>2016-11-13 12</t>
  </si>
  <si>
    <t>2016-11-13 11</t>
  </si>
  <si>
    <t>2016-11-13 10</t>
  </si>
  <si>
    <t>2016-11-13 09</t>
  </si>
  <si>
    <t>2016-11-13 08</t>
  </si>
  <si>
    <t>2016-11-13 07</t>
  </si>
  <si>
    <t>2016-11-13 06</t>
  </si>
  <si>
    <t>2016-11-13 05</t>
  </si>
  <si>
    <t>2016-11-13 04</t>
  </si>
  <si>
    <t>2016-11-13 03</t>
  </si>
  <si>
    <t>2016-11-13 02</t>
  </si>
  <si>
    <t>2016-11-13 01</t>
  </si>
  <si>
    <t>2016-11-13 00</t>
  </si>
  <si>
    <t>2016-11-12 23</t>
  </si>
  <si>
    <t>2016-11-12 22</t>
  </si>
  <si>
    <t>2016-11-12 21</t>
  </si>
  <si>
    <t>2016-11-12 20</t>
  </si>
  <si>
    <t>2016-11-12 19</t>
  </si>
  <si>
    <t>2016-11-12 18</t>
  </si>
  <si>
    <t>2016-11-12 17</t>
  </si>
  <si>
    <t>2016-11-12 16</t>
  </si>
  <si>
    <t>2016-11-12 15</t>
  </si>
  <si>
    <t>2016-11-12 14</t>
  </si>
  <si>
    <t>2016-11-12 13</t>
  </si>
  <si>
    <t>2016-11-12 12</t>
  </si>
  <si>
    <t>2016-11-12 11</t>
  </si>
  <si>
    <t>2016-11-12 10</t>
  </si>
  <si>
    <t>2016-11-12 09</t>
  </si>
  <si>
    <t>2016-11-12 08</t>
  </si>
  <si>
    <t>2016-11-12 07</t>
  </si>
  <si>
    <t>2016-11-12 06</t>
  </si>
  <si>
    <t>2016-11-12 05</t>
  </si>
  <si>
    <t>2016-11-12 04</t>
  </si>
  <si>
    <t>2016-11-12 03</t>
  </si>
  <si>
    <t>2016-11-12 02</t>
  </si>
  <si>
    <t>2016-11-12 01</t>
  </si>
  <si>
    <t>2016-11-12 00</t>
  </si>
  <si>
    <t>2016-11-11 23</t>
  </si>
  <si>
    <t>2016-11-11 22</t>
  </si>
  <si>
    <t>2016-11-11 21</t>
  </si>
  <si>
    <t>2016-11-11 20</t>
  </si>
  <si>
    <t>2016-11-11 19</t>
  </si>
  <si>
    <t>2016-11-11 18</t>
  </si>
  <si>
    <t>2016-11-11 17</t>
  </si>
  <si>
    <t>2016-11-11 16</t>
  </si>
  <si>
    <t>2016-11-11 15</t>
  </si>
  <si>
    <t>2016-11-11 14</t>
  </si>
  <si>
    <t>2016-11-11 13</t>
  </si>
  <si>
    <t>2016-11-11 12</t>
  </si>
  <si>
    <t>2016-11-11 11</t>
  </si>
  <si>
    <t>2016-11-11 10</t>
  </si>
  <si>
    <t>2016-11-11 09</t>
  </si>
  <si>
    <t>2016-11-11 08</t>
  </si>
  <si>
    <t>2016-11-11 07</t>
  </si>
  <si>
    <t>2016-11-11 06</t>
  </si>
  <si>
    <t>2016-11-11 05</t>
  </si>
  <si>
    <t>2016-11-11 04</t>
  </si>
  <si>
    <t>2016-11-11 03</t>
  </si>
  <si>
    <t>2016-11-11 02</t>
  </si>
  <si>
    <t>2016-11-11 01</t>
  </si>
  <si>
    <t>2016-11-11 00</t>
  </si>
  <si>
    <t>2016-11-10 23</t>
  </si>
  <si>
    <t>2016-11-10 22</t>
  </si>
  <si>
    <t>2016-11-10 21</t>
  </si>
  <si>
    <t>2016-11-10 20</t>
  </si>
  <si>
    <t>2016-11-10 19</t>
  </si>
  <si>
    <t>2016-11-10 18</t>
  </si>
  <si>
    <t>2016-11-10 17</t>
  </si>
  <si>
    <t>2016-11-10 16</t>
  </si>
  <si>
    <t>2016-11-10 15</t>
  </si>
  <si>
    <t>2016-11-10 14</t>
  </si>
  <si>
    <t>2016-11-10 13</t>
  </si>
  <si>
    <t>2016-11-10 12</t>
  </si>
  <si>
    <t>2016-11-10 11</t>
  </si>
  <si>
    <t>2016-11-10 10</t>
  </si>
  <si>
    <t>2016-11-10 09</t>
  </si>
  <si>
    <t>2016-11-10 08</t>
  </si>
  <si>
    <t>2016-11-10 07</t>
  </si>
  <si>
    <t>2016-11-10 06</t>
  </si>
  <si>
    <t>2016-11-10 05</t>
  </si>
  <si>
    <t>2016-11-10 04</t>
  </si>
  <si>
    <t>2016-11-10 03</t>
  </si>
  <si>
    <t>2016-11-10 02</t>
  </si>
  <si>
    <t>2016-11-10 01</t>
  </si>
  <si>
    <t>2016-11-10 00</t>
  </si>
  <si>
    <t>2016-11-09 23</t>
  </si>
  <si>
    <t>2016-11-09 22</t>
  </si>
  <si>
    <t>2016-11-09 21</t>
  </si>
  <si>
    <t>2016-11-09 20</t>
  </si>
  <si>
    <t>2016-11-09 19</t>
  </si>
  <si>
    <t>2016-11-09 18</t>
  </si>
  <si>
    <t>2016-11-09 17</t>
  </si>
  <si>
    <t>2016-11-09 16</t>
  </si>
  <si>
    <t>2016-11-09 15</t>
  </si>
  <si>
    <t>2016-11-09 14</t>
  </si>
  <si>
    <t>2016-11-09 13</t>
  </si>
  <si>
    <t>2016-11-09 12</t>
  </si>
  <si>
    <t>2016-11-09 11</t>
  </si>
  <si>
    <t>2016-11-09 10</t>
  </si>
  <si>
    <t>2016-11-09 09</t>
  </si>
  <si>
    <t>2016-11-09 08</t>
  </si>
  <si>
    <t>2016-11-09 07</t>
  </si>
  <si>
    <t>2016-11-09 06</t>
  </si>
  <si>
    <t>2016-11-09 05</t>
  </si>
  <si>
    <t>2016-11-09 04</t>
  </si>
  <si>
    <t>2016-11-09 03</t>
  </si>
  <si>
    <t>2016-11-09 02</t>
  </si>
  <si>
    <t>2016-11-09 01</t>
  </si>
  <si>
    <t>2016-11-09 00</t>
  </si>
  <si>
    <t>2016-11-08 23</t>
  </si>
  <si>
    <t>2016-11-08 22</t>
  </si>
  <si>
    <t>2016-11-08 21</t>
  </si>
  <si>
    <t>2016-11-08 20</t>
  </si>
  <si>
    <t>2016-11-08 19</t>
  </si>
  <si>
    <t>2016-11-08 18</t>
  </si>
  <si>
    <t>2016-11-08 17</t>
  </si>
  <si>
    <t>2016-11-08 16</t>
  </si>
  <si>
    <t>2016-11-08 15</t>
  </si>
  <si>
    <t>2016-11-08 14</t>
  </si>
  <si>
    <t>2016-11-08 13</t>
  </si>
  <si>
    <t>2016-11-08 12</t>
  </si>
  <si>
    <t>2016-11-08 11</t>
  </si>
  <si>
    <t>2016-11-08 10</t>
  </si>
  <si>
    <t>2016-11-08 09</t>
  </si>
  <si>
    <t>2016-11-08 08</t>
  </si>
  <si>
    <t>2016-11-08 07</t>
  </si>
  <si>
    <t>2016-11-08 06</t>
  </si>
  <si>
    <t>2016-11-08 05</t>
  </si>
  <si>
    <t>2016-11-08 04</t>
  </si>
  <si>
    <t>2016-11-08 03</t>
  </si>
  <si>
    <t>2016-11-08 02</t>
  </si>
  <si>
    <t>2016-11-08 01</t>
  </si>
  <si>
    <t>2016-11-08 00</t>
  </si>
  <si>
    <t>2016-11-07 23</t>
  </si>
  <si>
    <t>2016-11-07 22</t>
  </si>
  <si>
    <t>2016-11-07 21</t>
  </si>
  <si>
    <t>2016-11-07 20</t>
  </si>
  <si>
    <t>2016-11-07 19</t>
  </si>
  <si>
    <t>2016-11-07 18</t>
  </si>
  <si>
    <t>2016-11-07 17</t>
  </si>
  <si>
    <t>2016-11-07 16</t>
  </si>
  <si>
    <t>2016-11-07 15</t>
  </si>
  <si>
    <t>2016-11-07 14</t>
  </si>
  <si>
    <t>2016-11-07 13</t>
  </si>
  <si>
    <t>2016-11-07 12</t>
  </si>
  <si>
    <t>2016-11-07 11</t>
  </si>
  <si>
    <t>2016-11-07 10</t>
  </si>
  <si>
    <t>2016-11-07 09</t>
  </si>
  <si>
    <t>2016-11-07 08</t>
  </si>
  <si>
    <t>2016-11-07 07</t>
  </si>
  <si>
    <t>2016-11-07 06</t>
  </si>
  <si>
    <t>2016-11-07 05</t>
  </si>
  <si>
    <t>2016-11-07 04</t>
  </si>
  <si>
    <t>2016-11-07 03</t>
  </si>
  <si>
    <t>2016-11-07 02</t>
  </si>
  <si>
    <t>2016-11-07 01</t>
  </si>
  <si>
    <t>2016-11-07 00</t>
  </si>
  <si>
    <t>Active drivers</t>
  </si>
  <si>
    <t>Online (h)</t>
  </si>
  <si>
    <t>Has booking (h)</t>
  </si>
  <si>
    <t>Waiting for booking (h)</t>
  </si>
  <si>
    <t>Busy (h)</t>
  </si>
  <si>
    <t>Hours per active driver</t>
  </si>
  <si>
    <t>Rides per online hour</t>
  </si>
  <si>
    <t>Finished Rides</t>
  </si>
  <si>
    <t>1a) For each hour of the week, calculate the total number of unique searches with 100% coverage.</t>
  </si>
  <si>
    <t>1b) Create a pivot table to illustrate the distribution of total number of unique searches against Hours and Weekdays (24x7 grid).</t>
  </si>
  <si>
    <t>3) In a form of a 24x7 grid (hour-weekday grid), visualize a coverage heatmap. This one will be sent to drivers to show when is the best time to go online (low coverage usually suggests higher demand), make sure the format is appropiate for them!</t>
  </si>
  <si>
    <t>7a) Explain how you understand the concept of driver utilization rate.</t>
  </si>
  <si>
    <t>7b) Find the 5 most utilized hours of the week (not necessarily consecutive), and calculate the sum of trips finished in these 5 hours.</t>
  </si>
  <si>
    <t>New Date</t>
  </si>
  <si>
    <t>Hour</t>
  </si>
  <si>
    <t>Weekday</t>
  </si>
  <si>
    <t>Sum of Coverage Ratio (unique)</t>
  </si>
  <si>
    <t>Row Labels</t>
  </si>
  <si>
    <t>00</t>
  </si>
  <si>
    <t>01</t>
  </si>
  <si>
    <t>02</t>
  </si>
  <si>
    <t>03</t>
  </si>
  <si>
    <t>04</t>
  </si>
  <si>
    <t>05</t>
  </si>
  <si>
    <t>06</t>
  </si>
  <si>
    <t>07</t>
  </si>
  <si>
    <t>08</t>
  </si>
  <si>
    <t>09</t>
  </si>
  <si>
    <t>10</t>
  </si>
  <si>
    <t>11</t>
  </si>
  <si>
    <t>12</t>
  </si>
  <si>
    <t>13</t>
  </si>
  <si>
    <t>14</t>
  </si>
  <si>
    <t>15</t>
  </si>
  <si>
    <t>16</t>
  </si>
  <si>
    <t>17</t>
  </si>
  <si>
    <t>18</t>
  </si>
  <si>
    <t>19</t>
  </si>
  <si>
    <t>20</t>
  </si>
  <si>
    <t>21</t>
  </si>
  <si>
    <t>22</t>
  </si>
  <si>
    <t>23</t>
  </si>
  <si>
    <t>Grand Total</t>
  </si>
  <si>
    <t>Column Labels</t>
  </si>
  <si>
    <t>Sun</t>
  </si>
  <si>
    <t>Mon</t>
  </si>
  <si>
    <t>Tue</t>
  </si>
  <si>
    <t>Wed</t>
  </si>
  <si>
    <t>Thu</t>
  </si>
  <si>
    <t>Fri</t>
  </si>
  <si>
    <t>Sat</t>
  </si>
  <si>
    <t>1A</t>
  </si>
  <si>
    <t>1B</t>
  </si>
  <si>
    <t>Sum of Finished Rides</t>
  </si>
  <si>
    <t xml:space="preserve"> </t>
  </si>
  <si>
    <t>Demand</t>
  </si>
  <si>
    <t>Total Demand</t>
  </si>
  <si>
    <t>Net Revenue</t>
  </si>
  <si>
    <t>Utilization</t>
  </si>
  <si>
    <t>Sum of People saw +1 cars (unique)</t>
  </si>
  <si>
    <t>2016-11-07</t>
  </si>
  <si>
    <t>2016-11-08</t>
  </si>
  <si>
    <t>2016-11-09</t>
  </si>
  <si>
    <t>2016-11-10</t>
  </si>
  <si>
    <t>2016-11-11</t>
  </si>
  <si>
    <t>2016-11-12</t>
  </si>
  <si>
    <t>2016-11-13</t>
  </si>
  <si>
    <t>Max of Coverage Ratio (unique)</t>
  </si>
  <si>
    <t>Estimated trips</t>
  </si>
  <si>
    <t>Estimated Daily Trips</t>
  </si>
  <si>
    <t>Supply</t>
  </si>
  <si>
    <t>Demand Level(%)</t>
  </si>
  <si>
    <t>Multiplir</t>
  </si>
  <si>
    <t>1.0x</t>
  </si>
  <si>
    <t>1.5x</t>
  </si>
  <si>
    <t>59&lt;</t>
  </si>
  <si>
    <t>60&gt;=</t>
  </si>
  <si>
    <t>90&gt;=</t>
  </si>
  <si>
    <t>1.2x</t>
  </si>
  <si>
    <t>7a.</t>
  </si>
  <si>
    <t>Driver utilization rate refers to the amount of time a driver spends on the app and how he actively uses the app</t>
  </si>
  <si>
    <t>7b.</t>
  </si>
  <si>
    <t>Hours</t>
  </si>
  <si>
    <t>Trips Finished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</si>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</sst>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7">
    <font>
      <sz val="11"/>
      <color rgb="FF000000"/>
      <name val="Calibri"/>
      <scheme val="minor"/>
    </font>
    <font>
      <sz val="11"/>
      <color rgb="FF000000"/>
      <name val="Calibri"/>
    </font>
    <font>
      <b/>
      <sz val="16"/>
      <color rgb="FF000000"/>
      <name val="Arial"/>
    </font>
    <font>
      <sz val="20"/>
      <color rgb="FF000000"/>
      <name val="Arial"/>
    </font>
    <font>
      <sz val="11"/>
      <color rgb="FF000000"/>
      <name val="Arial"/>
    </font>
    <font>
      <b/>
      <u/>
      <sz val="11"/>
      <color rgb="FF000000"/>
      <name val="Arial"/>
    </font>
    <font>
      <sz val="11"/>
      <name val="Calibri"/>
    </font>
    <font>
      <b/>
      <sz val="12"/>
      <color rgb="FF40DF6D"/>
      <name val="Arial"/>
    </font>
    <font>
      <b/>
      <sz val="12"/>
      <color rgb="FF000000"/>
      <name val="Arial"/>
    </font>
    <font>
      <b/>
      <sz val="11"/>
      <color rgb="FF000000"/>
      <name val="Arial"/>
    </font>
    <font>
      <sz val="10"/>
      <color rgb="FF000000"/>
      <name val="Arial"/>
    </font>
    <font>
      <i/>
      <sz val="11"/>
      <color rgb="FF000000"/>
      <name val="Arial"/>
    </font>
    <font>
      <b/>
      <sz val="12"/>
      <color rgb="FF000000"/>
      <name val="Calibri"/>
    </font>
    <font>
      <sz val="12"/>
      <color rgb="FF000000"/>
      <name val="Calibri"/>
    </font>
    <font>
      <b/>
      <sz val="11"/>
      <color rgb="FF000000"/>
      <name val="Calibri"/>
    </font>
    <font>
      <sz val="11"/>
      <color rgb="FF000000"/>
      <name val="Calibri"/>
      <scheme val="minor"/>
    </font>
    <font>
      <sz val="11"/>
      <color rgb="FF000000"/>
      <name val="Calibri"/>
      <family val="2"/>
    </font>
  </fonts>
  <fills count="5">
    <fill>
      <patternFill patternType="none"/>
    </fill>
    <fill>
      <patternFill patternType="gray125"/>
    </fill>
    <fill>
      <patternFill patternType="solid">
        <fgColor rgb="FFFFFFFF"/>
        <bgColor rgb="FFFFFFFF"/>
      </patternFill>
    </fill>
    <fill>
      <patternFill patternType="solid">
        <fgColor rgb="FF40DF6D"/>
        <bgColor rgb="FF40DF6D"/>
      </patternFill>
    </fill>
    <fill>
      <patternFill patternType="solid">
        <fgColor theme="6" tint="0.59999389629810485"/>
        <bgColor indexed="64"/>
      </patternFill>
    </fill>
  </fills>
  <borders count="4">
    <border>
      <left/>
      <right/>
      <top/>
      <bottom/>
      <diagonal/>
    </border>
    <border>
      <left/>
      <right/>
      <top/>
      <bottom/>
      <diagonal/>
    </border>
    <border>
      <left/>
      <right/>
      <top/>
      <bottom style="hair">
        <color rgb="FF40DF6D"/>
      </bottom>
      <diagonal/>
    </border>
    <border>
      <left/>
      <right/>
      <top style="hair">
        <color rgb="FF40DF6D"/>
      </top>
      <bottom style="hair">
        <color rgb="FF40DF6D"/>
      </bottom>
      <diagonal/>
    </border>
  </borders>
  <cellStyleXfs count="2">
    <xf numFmtId="0" fontId="0" fillId="0" borderId="0"/>
    <xf numFmtId="44" fontId="15" fillId="0" borderId="0" applyFont="0" applyFill="0" applyBorder="0" applyAlignment="0" applyProtection="0"/>
  </cellStyleXfs>
  <cellXfs count="47">
    <xf numFmtId="0" fontId="0" fillId="0" borderId="0" xfId="0"/>
    <xf numFmtId="0" fontId="1" fillId="2" borderId="1" xfId="0" applyFont="1" applyFill="1" applyBorder="1"/>
    <xf numFmtId="0" fontId="2" fillId="2" borderId="1" xfId="0" applyFont="1" applyFill="1" applyBorder="1" applyAlignment="1">
      <alignment vertical="center"/>
    </xf>
    <xf numFmtId="0" fontId="1" fillId="3" borderId="1" xfId="0" applyFont="1" applyFill="1" applyBorder="1"/>
    <xf numFmtId="0" fontId="3" fillId="0" borderId="0" xfId="0" applyFont="1"/>
    <xf numFmtId="0" fontId="4" fillId="0" borderId="0" xfId="0" applyFont="1"/>
    <xf numFmtId="0" fontId="4" fillId="0" borderId="0" xfId="0" applyFont="1" applyAlignment="1">
      <alignment horizontal="left"/>
    </xf>
    <xf numFmtId="0" fontId="5" fillId="0" borderId="0" xfId="0" applyFont="1"/>
    <xf numFmtId="0" fontId="7" fillId="0" borderId="0" xfId="0" applyFont="1" applyAlignment="1">
      <alignment horizontal="center" vertical="center"/>
    </xf>
    <xf numFmtId="0" fontId="8" fillId="0" borderId="0" xfId="0" applyFont="1" applyAlignment="1">
      <alignment horizontal="center" vertical="center"/>
    </xf>
    <xf numFmtId="0" fontId="1" fillId="0" borderId="0" xfId="0" applyFont="1" applyAlignment="1">
      <alignment vertical="center"/>
    </xf>
    <xf numFmtId="0" fontId="9" fillId="0" borderId="0" xfId="0" applyFont="1" applyAlignment="1">
      <alignment horizontal="left" vertical="center"/>
    </xf>
    <xf numFmtId="0" fontId="10" fillId="0" borderId="0" xfId="0" applyFont="1"/>
    <xf numFmtId="0" fontId="1" fillId="0" borderId="0" xfId="0" applyFont="1"/>
    <xf numFmtId="0" fontId="10" fillId="0" borderId="0" xfId="0" applyFont="1" applyAlignment="1">
      <alignment horizontal="left"/>
    </xf>
    <xf numFmtId="0" fontId="11" fillId="0" borderId="0" xfId="0" applyFont="1"/>
    <xf numFmtId="4" fontId="1" fillId="0" borderId="0" xfId="0" applyNumberFormat="1" applyFont="1"/>
    <xf numFmtId="0" fontId="12" fillId="0" borderId="0" xfId="0" applyFont="1"/>
    <xf numFmtId="0" fontId="13" fillId="0" borderId="0" xfId="0" applyFont="1"/>
    <xf numFmtId="0" fontId="13" fillId="0" borderId="0" xfId="0" applyFont="1" applyAlignment="1">
      <alignment horizontal="right"/>
    </xf>
    <xf numFmtId="0" fontId="14" fillId="0" borderId="0" xfId="0" applyFont="1" applyAlignment="1">
      <alignment horizontal="left"/>
    </xf>
    <xf numFmtId="0" fontId="14" fillId="0" borderId="0" xfId="0" applyFont="1"/>
    <xf numFmtId="0" fontId="1" fillId="0" borderId="0" xfId="0" applyFont="1" applyAlignment="1">
      <alignment horizontal="left"/>
    </xf>
    <xf numFmtId="9" fontId="1" fillId="0" borderId="0" xfId="0" applyNumberFormat="1" applyFont="1"/>
    <xf numFmtId="0" fontId="13" fillId="0" borderId="0" xfId="0" applyFont="1" applyAlignment="1">
      <alignment vertical="center"/>
    </xf>
    <xf numFmtId="0" fontId="14" fillId="0" borderId="0" xfId="0" applyFont="1" applyAlignment="1">
      <alignment wrapText="1"/>
    </xf>
    <xf numFmtId="0" fontId="14" fillId="0" borderId="0" xfId="0" applyFont="1" applyAlignment="1">
      <alignment horizontal="right"/>
    </xf>
    <xf numFmtId="0" fontId="0" fillId="0" borderId="0" xfId="0" pivotButton="1"/>
    <xf numFmtId="0" fontId="0" fillId="0" borderId="0" xfId="0" applyAlignment="1">
      <alignment horizontal="left"/>
    </xf>
    <xf numFmtId="0" fontId="0" fillId="4" borderId="0" xfId="0" applyFill="1"/>
    <xf numFmtId="0" fontId="0" fillId="4" borderId="0" xfId="0" applyFill="1" applyAlignment="1">
      <alignment horizontal="center"/>
    </xf>
    <xf numFmtId="2" fontId="13" fillId="0" borderId="0" xfId="0" applyNumberFormat="1" applyFont="1" applyAlignment="1">
      <alignment horizontal="right"/>
    </xf>
    <xf numFmtId="44" fontId="1" fillId="0" borderId="0" xfId="1" applyFont="1"/>
    <xf numFmtId="44" fontId="1" fillId="0" borderId="0" xfId="0" applyNumberFormat="1" applyFont="1"/>
    <xf numFmtId="0" fontId="1" fillId="4" borderId="0" xfId="0" applyFont="1" applyFill="1"/>
    <xf numFmtId="0" fontId="13" fillId="4" borderId="0" xfId="0" applyFont="1" applyFill="1" applyAlignment="1">
      <alignment vertical="center"/>
    </xf>
    <xf numFmtId="0" fontId="16" fillId="0" borderId="0" xfId="0" applyFont="1"/>
    <xf numFmtId="0" fontId="4" fillId="0" borderId="0" xfId="0" applyFont="1" applyAlignment="1">
      <alignment horizontal="left" vertical="center" wrapText="1"/>
    </xf>
    <xf numFmtId="0" fontId="0" fillId="0" borderId="0" xfId="0"/>
    <xf numFmtId="0" fontId="4" fillId="0" borderId="3" xfId="0" applyFont="1" applyBorder="1" applyAlignment="1">
      <alignment horizontal="left" vertical="center" wrapText="1"/>
    </xf>
    <xf numFmtId="0" fontId="6" fillId="0" borderId="3" xfId="0" applyFont="1" applyBorder="1"/>
    <xf numFmtId="0" fontId="4" fillId="0" borderId="2" xfId="0" applyFont="1" applyBorder="1" applyAlignment="1">
      <alignment horizontal="left" vertical="center" wrapText="1"/>
    </xf>
    <xf numFmtId="0" fontId="6" fillId="0" borderId="2" xfId="0" applyFont="1" applyBorder="1"/>
    <xf numFmtId="0" fontId="11" fillId="0" borderId="0" xfId="0" applyFont="1"/>
    <xf numFmtId="0" fontId="14" fillId="0" borderId="0" xfId="0" applyFont="1" applyAlignment="1">
      <alignment horizontal="left" wrapText="1"/>
    </xf>
    <xf numFmtId="0" fontId="14" fillId="0" borderId="0" xfId="0" applyFont="1" applyAlignment="1">
      <alignment horizontal="left"/>
    </xf>
    <xf numFmtId="0" fontId="14" fillId="0" borderId="0" xfId="0" applyFont="1" applyAlignment="1">
      <alignment wrapText="1"/>
    </xf>
  </cellXfs>
  <cellStyles count="2">
    <cellStyle name="Currency" xfId="1" builtinId="4"/>
    <cellStyle name="Normal" xfId="0" builtinId="0"/>
  </cellStyles>
  <dxfs count="35">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val="0"/>
        <i val="0"/>
        <strike val="0"/>
        <condense val="0"/>
        <extend val="0"/>
        <outline val="0"/>
        <shadow val="0"/>
        <u val="none"/>
        <vertAlign val="baseline"/>
        <sz val="12"/>
        <color rgb="FF000000"/>
        <name val="Calibri"/>
        <scheme val="none"/>
      </font>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font>
        <b/>
        <i val="0"/>
        <strike val="0"/>
        <condense val="0"/>
        <extend val="0"/>
        <outline val="0"/>
        <shadow val="0"/>
        <u val="none"/>
        <vertAlign val="baseline"/>
        <sz val="12"/>
        <color rgb="FF000000"/>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[Bolt Task Analysis.xlsx]Q2!PivotTable3</c:name>
    <c:fmtId val="0"/>
  </c:pivotSource>
  <c:chart>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'Q2'!$C$6</c:f>
              <c:strCache>
                <c:ptCount val="1"/>
                <c:pt idx="0">
                  <c:v>Demand</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'Q2'!$B$7:$B$13</c:f>
              <c:strCache>
                <c:ptCount val="7"/>
                <c:pt idx="0">
                  <c:v>Sun</c:v>
                </c:pt>
                <c:pt idx="1">
                  <c:v>Mon</c:v>
                </c:pt>
                <c:pt idx="2">
                  <c:v>Tue</c:v>
                </c:pt>
                <c:pt idx="3">
                  <c:v>Wed</c:v>
                </c:pt>
                <c:pt idx="4">
                  <c:v>Thu</c:v>
                </c:pt>
                <c:pt idx="5">
                  <c:v>Fri</c:v>
                </c:pt>
                <c:pt idx="6">
                  <c:v>Sat</c:v>
                </c:pt>
              </c:strCache>
            </c:strRef>
          </c:cat>
          <c:val>
            <c:numRef>
              <c:f>'Q2'!$C$7:$C$13</c:f>
              <c:numCache>
                <c:formatCode>General</c:formatCode>
                <c:ptCount val="7"/>
                <c:pt idx="0">
                  <c:v>274</c:v>
                </c:pt>
                <c:pt idx="1">
                  <c:v>174</c:v>
                </c:pt>
                <c:pt idx="2">
                  <c:v>259</c:v>
                </c:pt>
                <c:pt idx="3">
                  <c:v>269</c:v>
                </c:pt>
                <c:pt idx="4">
                  <c:v>249</c:v>
                </c:pt>
                <c:pt idx="5">
                  <c:v>375</c:v>
                </c:pt>
                <c:pt idx="6">
                  <c:v>325</c:v>
                </c:pt>
              </c:numCache>
            </c:numRef>
          </c:val>
          <c:extLst>
            <c:ext xmlns:c16="http://schemas.microsoft.com/office/drawing/2014/chart" uri="{C3380CC4-5D6E-409C-BE32-E72D297353CC}">
              <c16:uniqueId val="{00000000-9248-4A31-A533-E271247F7D9C}"/>
            </c:ext>
          </c:extLst>
        </c:ser>
        <c:ser>
          <c:idx val="1"/>
          <c:order val="1"/>
          <c:tx>
            <c:strRef>
              <c:f>'Q2'!$D$6</c:f>
              <c:strCache>
                <c:ptCount val="1"/>
                <c:pt idx="0">
                  <c:v>Supply</c:v>
                </c:pt>
              </c:strCache>
            </c:strRef>
          </c:tx>
          <c:spPr>
            <a:solidFill>
              <a:schemeClr val="tx2">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'Q2'!$B$7:$B$13</c:f>
              <c:strCache>
                <c:ptCount val="7"/>
                <c:pt idx="0">
                  <c:v>Sun</c:v>
                </c:pt>
                <c:pt idx="1">
                  <c:v>Mon</c:v>
                </c:pt>
                <c:pt idx="2">
                  <c:v>Tue</c:v>
                </c:pt>
                <c:pt idx="3">
                  <c:v>Wed</c:v>
                </c:pt>
                <c:pt idx="4">
                  <c:v>Thu</c:v>
                </c:pt>
                <c:pt idx="5">
                  <c:v>Fri</c:v>
                </c:pt>
                <c:pt idx="6">
                  <c:v>Sat</c:v>
                </c:pt>
              </c:strCache>
            </c:strRef>
          </c:cat>
          <c:val>
            <c:numRef>
              <c:f>'Q2'!$D$7:$D$13</c:f>
              <c:numCache>
                <c:formatCode>General</c:formatCode>
                <c:ptCount val="7"/>
                <c:pt idx="0">
                  <c:v>1167</c:v>
                </c:pt>
                <c:pt idx="1">
                  <c:v>1221</c:v>
                </c:pt>
                <c:pt idx="2">
                  <c:v>1477</c:v>
                </c:pt>
                <c:pt idx="3">
                  <c:v>1454</c:v>
                </c:pt>
                <c:pt idx="4">
                  <c:v>1562</c:v>
                </c:pt>
                <c:pt idx="5">
                  <c:v>1300</c:v>
                </c:pt>
                <c:pt idx="6">
                  <c:v>1265</c:v>
                </c:pt>
              </c:numCache>
            </c:numRef>
          </c:val>
          <c:extLst>
            <c:ext xmlns:c16="http://schemas.microsoft.com/office/drawing/2014/chart" uri="{C3380CC4-5D6E-409C-BE32-E72D297353CC}">
              <c16:uniqueId val="{00000001-9248-4A31-A533-E271247F7D9C}"/>
            </c:ext>
          </c:extLst>
        </c:ser>
        <c:dLbls>
          <c:dLblPos val="outEnd"/>
          <c:showLegendKey val="0"/>
          <c:showVal val="1"/>
          <c:showCatName val="0"/>
          <c:showSerName val="0"/>
          <c:showPercent val="0"/>
          <c:showBubbleSize val="0"/>
        </c:dLbls>
        <c:gapWidth val="100"/>
        <c:overlap val="-27"/>
        <c:axId val="2132036784"/>
        <c:axId val="2132038448"/>
      </c:barChart>
      <c:catAx>
        <c:axId val="2132036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38448"/>
        <c:crosses val="autoZero"/>
        <c:auto val="1"/>
        <c:lblAlgn val="ctr"/>
        <c:lblOffset val="100"/>
        <c:noMultiLvlLbl val="0"/>
      </c:catAx>
      <c:valAx>
        <c:axId val="2132038448"/>
        <c:scaling>
          <c:orientation val="minMax"/>
        </c:scaling>
        <c:delete val="1"/>
        <c:axPos val="l"/>
        <c:numFmt formatCode="General" sourceLinked="1"/>
        <c:majorTickMark val="out"/>
        <c:minorTickMark val="none"/>
        <c:tickLblPos val="nextTo"/>
        <c:crossAx val="2132036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377825</xdr:colOff>
      <xdr:row>5</xdr:row>
      <xdr:rowOff>38100</xdr:rowOff>
    </xdr:from>
    <xdr:to>
      <xdr:col>11</xdr:col>
      <xdr:colOff>504825</xdr:colOff>
      <xdr:row>20</xdr:row>
      <xdr:rowOff>19050</xdr:rowOff>
    </xdr:to>
    <xdr:graphicFrame macro="">
      <xdr:nvGraphicFramePr>
        <xdr:cNvPr id="2" name="Chart 1">
          <a:extLst>
            <a:ext uri="{FF2B5EF4-FFF2-40B4-BE49-F238E27FC236}">
              <a16:creationId xmlns:a16="http://schemas.microsoft.com/office/drawing/2014/main" id="{247A85A2-1A81-4E38-8E6F-21DEB3495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0.556407407406" createdVersion="7" refreshedVersion="7" minRefreshableVersion="3" recordCount="168" xr:uid="{D86BDC9E-7406-4C6E-B3D4-DC7606CCABE3}">
  <cacheSource type="worksheet">
    <worksheetSource name="Table2"/>
  </cacheSource>
  <cacheFields count="13">
    <cacheField name="Date" numFmtId="0">
      <sharedItems/>
    </cacheField>
    <cacheField name="Active drivers" numFmtId="0">
      <sharedItems containsSemiMixedTypes="0" containsString="0" containsNumber="1" containsInteger="1" minValue="14" maxValue="103"/>
    </cacheField>
    <cacheField name="Online (h)" numFmtId="0">
      <sharedItems containsSemiMixedTypes="0" containsString="0" containsNumber="1" containsInteger="1" minValue="4" maxValue="45"/>
    </cacheField>
    <cacheField name="Has booking (h)" numFmtId="0">
      <sharedItems containsSemiMixedTypes="0" containsString="0" containsNumber="1" containsInteger="1" minValue="0" maxValue="20"/>
    </cacheField>
    <cacheField name="Waiting for booking (h)" numFmtId="0">
      <sharedItems containsSemiMixedTypes="0" containsString="0" containsNumber="1" containsInteger="1" minValue="4" maxValue="37"/>
    </cacheField>
    <cacheField name="Busy (h)" numFmtId="0">
      <sharedItems containsSemiMixedTypes="0" containsString="0" containsNumber="1" containsInteger="1" minValue="3" maxValue="29"/>
    </cacheField>
    <cacheField name="Hours per active driver" numFmtId="0">
      <sharedItems containsSemiMixedTypes="0" containsString="0" containsNumber="1" minValue="0.3" maxValue="0.6"/>
    </cacheField>
    <cacheField name="Rides per online hour" numFmtId="0">
      <sharedItems containsSemiMixedTypes="0" containsString="0" containsNumber="1" minValue="0" maxValue="1.74"/>
    </cacheField>
    <cacheField name="Finished Rides" numFmtId="0">
      <sharedItems containsSemiMixedTypes="0" containsString="0" containsNumber="1" containsInteger="1" minValue="0" maxValue="47"/>
    </cacheField>
    <cacheField name="New Date" numFmtId="2">
      <sharedItems/>
    </cacheField>
    <cacheField name="Hour" numFmtId="0">
      <sharedItems count="24">
        <s v="23"/>
        <s v="22"/>
        <s v="21"/>
        <s v="20"/>
        <s v="19"/>
        <s v="18"/>
        <s v="17"/>
        <s v="16"/>
        <s v="15"/>
        <s v="14"/>
        <s v="13"/>
        <s v="12"/>
        <s v="11"/>
        <s v="10"/>
        <s v="09"/>
        <s v="08"/>
        <s v="07"/>
        <s v="06"/>
        <s v="05"/>
        <s v="04"/>
        <s v="03"/>
        <s v="02"/>
        <s v="01"/>
        <s v="00"/>
      </sharedItems>
    </cacheField>
    <cacheField name="Weekday" numFmtId="0">
      <sharedItems count="7">
        <s v="Sun"/>
        <s v="Sat"/>
        <s v="Fri"/>
        <s v="Thu"/>
        <s v="Wed"/>
        <s v="Tue"/>
        <s v="Mon"/>
      </sharedItems>
    </cacheField>
    <cacheField name="Utiliza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0.55640775463" createdVersion="7" refreshedVersion="7" minRefreshableVersion="3" recordCount="168" xr:uid="{2C66595B-51E1-483D-97F0-447D029765E4}">
  <cacheSource type="worksheet">
    <worksheetSource name="Table1"/>
  </cacheSource>
  <cacheFields count="8">
    <cacheField name="Date" numFmtId="0">
      <sharedItems/>
    </cacheField>
    <cacheField name="People saw 0 cars (unique)" numFmtId="0">
      <sharedItems containsSemiMixedTypes="0" containsString="0" containsNumber="1" containsInteger="1" minValue="0" maxValue="71"/>
    </cacheField>
    <cacheField name="People saw +1 cars (unique)" numFmtId="0">
      <sharedItems containsSemiMixedTypes="0" containsString="0" containsNumber="1" containsInteger="1" minValue="0" maxValue="94"/>
    </cacheField>
    <cacheField name="Coverage Ratio (unique)" numFmtId="0">
      <sharedItems containsSemiMixedTypes="0" containsString="0" containsNumber="1" containsInteger="1" minValue="0" maxValue="100" count="56">
        <n v="94"/>
        <n v="87"/>
        <n v="76"/>
        <n v="89"/>
        <n v="84"/>
        <n v="85"/>
        <n v="68"/>
        <n v="81"/>
        <n v="82"/>
        <n v="69"/>
        <n v="70"/>
        <n v="71"/>
        <n v="54"/>
        <n v="59"/>
        <n v="79"/>
        <n v="80"/>
        <n v="45"/>
        <n v="67"/>
        <n v="74"/>
        <n v="91"/>
        <n v="77"/>
        <n v="66"/>
        <n v="52"/>
        <n v="51"/>
        <n v="78"/>
        <n v="83"/>
        <n v="55"/>
        <n v="90"/>
        <n v="57"/>
        <n v="72"/>
        <n v="75"/>
        <n v="58"/>
        <n v="64"/>
        <n v="62"/>
        <n v="63"/>
        <n v="73"/>
        <n v="65"/>
        <n v="60"/>
        <n v="20"/>
        <n v="92"/>
        <n v="88"/>
        <n v="56"/>
        <n v="50"/>
        <n v="100"/>
        <n v="95"/>
        <n v="93"/>
        <n v="39"/>
        <n v="53"/>
        <n v="18"/>
        <n v="43"/>
        <n v="86"/>
        <n v="44"/>
        <n v="96"/>
        <n v="97"/>
        <n v="36"/>
        <n v="0"/>
      </sharedItems>
    </cacheField>
    <cacheField name="New Date" numFmtId="0">
      <sharedItems count="7">
        <s v="2016-11-13"/>
        <s v="2016-11-12"/>
        <s v="2016-11-11"/>
        <s v="2016-11-10"/>
        <s v="2016-11-09"/>
        <s v="2016-11-08"/>
        <s v="2016-11-07"/>
      </sharedItems>
    </cacheField>
    <cacheField name="Hour" numFmtId="0">
      <sharedItems count="24">
        <s v="23"/>
        <s v="22"/>
        <s v="21"/>
        <s v="20"/>
        <s v="19"/>
        <s v="18"/>
        <s v="17"/>
        <s v="16"/>
        <s v="15"/>
        <s v="14"/>
        <s v="13"/>
        <s v="12"/>
        <s v="11"/>
        <s v="10"/>
        <s v="09"/>
        <s v="08"/>
        <s v="07"/>
        <s v="06"/>
        <s v="05"/>
        <s v="04"/>
        <s v="03"/>
        <s v="02"/>
        <s v="01"/>
        <s v="00"/>
      </sharedItems>
    </cacheField>
    <cacheField name="Weekday" numFmtId="0">
      <sharedItems count="7">
        <s v="Sun"/>
        <s v="Sat"/>
        <s v="Fri"/>
        <s v="Thu"/>
        <s v="Wed"/>
        <s v="Tue"/>
        <s v="Mon"/>
      </sharedItems>
    </cacheField>
    <cacheField name="Estimated trips" numFmtId="0">
      <sharedItems containsSemiMixedTypes="0" containsString="0" containsNumber="1" containsInteger="1" minValue="0" maxValue="61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s v="2016-11-13 23"/>
    <n v="45"/>
    <n v="22"/>
    <n v="3"/>
    <n v="19"/>
    <n v="13"/>
    <n v="0.5"/>
    <n v="0.45"/>
    <n v="10"/>
    <s v="2016-11-13"/>
    <x v="0"/>
    <x v="0"/>
    <s v="Moderate"/>
  </r>
  <r>
    <s v="2016-11-13 22"/>
    <n v="58"/>
    <n v="23"/>
    <n v="5"/>
    <n v="18"/>
    <n v="18"/>
    <n v="0.4"/>
    <n v="0.52"/>
    <n v="12"/>
    <s v="2016-11-13"/>
    <x v="1"/>
    <x v="0"/>
    <s v="Peak"/>
  </r>
  <r>
    <s v="2016-11-13 21"/>
    <n v="72"/>
    <n v="24"/>
    <n v="6"/>
    <n v="19"/>
    <n v="20"/>
    <n v="0.3"/>
    <n v="0.71"/>
    <n v="17"/>
    <s v="2016-11-13"/>
    <x v="2"/>
    <x v="0"/>
    <s v="Off-Peak"/>
  </r>
  <r>
    <s v="2016-11-13 20"/>
    <n v="74"/>
    <n v="30"/>
    <n v="5"/>
    <n v="25"/>
    <n v="17"/>
    <n v="0.4"/>
    <n v="0.47"/>
    <n v="14"/>
    <s v="2016-11-13"/>
    <x v="3"/>
    <x v="0"/>
    <s v="Peak"/>
  </r>
  <r>
    <s v="2016-11-13 19"/>
    <n v="58"/>
    <n v="26"/>
    <n v="4"/>
    <n v="22"/>
    <n v="17"/>
    <n v="0.4"/>
    <n v="0.46"/>
    <n v="12"/>
    <s v="2016-11-13"/>
    <x v="4"/>
    <x v="0"/>
    <s v="Peak"/>
  </r>
  <r>
    <s v="2016-11-13 18"/>
    <n v="64"/>
    <n v="25"/>
    <n v="6"/>
    <n v="19"/>
    <n v="14"/>
    <n v="0.4"/>
    <n v="0.44"/>
    <n v="11"/>
    <s v="2016-11-13"/>
    <x v="5"/>
    <x v="0"/>
    <s v="Moderate"/>
  </r>
  <r>
    <s v="2016-11-13 17"/>
    <n v="60"/>
    <n v="21"/>
    <n v="5"/>
    <n v="15"/>
    <n v="18"/>
    <n v="0.3"/>
    <n v="0.76"/>
    <n v="16"/>
    <s v="2016-11-13"/>
    <x v="6"/>
    <x v="0"/>
    <s v="Peak"/>
  </r>
  <r>
    <s v="2016-11-13 16"/>
    <n v="61"/>
    <n v="24"/>
    <n v="4"/>
    <n v="20"/>
    <n v="18"/>
    <n v="0.4"/>
    <n v="0.5"/>
    <n v="12"/>
    <s v="2016-11-13"/>
    <x v="7"/>
    <x v="0"/>
    <s v="Peak"/>
  </r>
  <r>
    <s v="2016-11-13 15"/>
    <n v="54"/>
    <n v="19"/>
    <n v="5"/>
    <n v="14"/>
    <n v="17"/>
    <n v="0.4"/>
    <n v="0.37"/>
    <n v="7"/>
    <s v="2016-11-13"/>
    <x v="8"/>
    <x v="0"/>
    <s v="Peak"/>
  </r>
  <r>
    <s v="2016-11-13 14"/>
    <n v="48"/>
    <n v="14"/>
    <n v="4"/>
    <n v="11"/>
    <n v="15"/>
    <n v="0.3"/>
    <n v="0.79"/>
    <n v="11"/>
    <s v="2016-11-13"/>
    <x v="9"/>
    <x v="0"/>
    <s v="Moderate"/>
  </r>
  <r>
    <s v="2016-11-13 13"/>
    <n v="45"/>
    <n v="16"/>
    <n v="6"/>
    <n v="10"/>
    <n v="13"/>
    <n v="0.4"/>
    <n v="0.69"/>
    <n v="11"/>
    <s v="2016-11-13"/>
    <x v="10"/>
    <x v="0"/>
    <s v="Moderate"/>
  </r>
  <r>
    <s v="2016-11-13 12"/>
    <n v="45"/>
    <n v="18"/>
    <n v="3"/>
    <n v="15"/>
    <n v="13"/>
    <n v="0.4"/>
    <n v="0.39"/>
    <n v="7"/>
    <s v="2016-11-13"/>
    <x v="11"/>
    <x v="0"/>
    <s v="Moderate"/>
  </r>
  <r>
    <s v="2016-11-13 11"/>
    <n v="39"/>
    <n v="15"/>
    <n v="2"/>
    <n v="14"/>
    <n v="10"/>
    <n v="0.4"/>
    <n v="0.33"/>
    <n v="5"/>
    <s v="2016-11-13"/>
    <x v="12"/>
    <x v="0"/>
    <s v="Moderate"/>
  </r>
  <r>
    <s v="2016-11-13 10"/>
    <n v="36"/>
    <n v="11"/>
    <n v="2"/>
    <n v="9"/>
    <n v="12"/>
    <n v="0.3"/>
    <n v="0.45"/>
    <n v="5"/>
    <s v="2016-11-13"/>
    <x v="13"/>
    <x v="0"/>
    <s v="Moderate"/>
  </r>
  <r>
    <s v="2016-11-13 09"/>
    <n v="33"/>
    <n v="12"/>
    <n v="1"/>
    <n v="11"/>
    <n v="12"/>
    <n v="0.4"/>
    <n v="0.42"/>
    <n v="5"/>
    <s v="2016-11-13"/>
    <x v="14"/>
    <x v="0"/>
    <s v="Moderate"/>
  </r>
  <r>
    <s v="2016-11-13 08"/>
    <n v="38"/>
    <n v="13"/>
    <n v="2"/>
    <n v="11"/>
    <n v="8"/>
    <n v="0.3"/>
    <n v="0.46"/>
    <n v="6"/>
    <s v="2016-11-13"/>
    <x v="15"/>
    <x v="0"/>
    <s v="Peak"/>
  </r>
  <r>
    <s v="2016-11-13 07"/>
    <n v="28"/>
    <n v="10"/>
    <n v="1"/>
    <n v="9"/>
    <n v="7"/>
    <n v="0.4"/>
    <n v="0.3"/>
    <n v="3"/>
    <s v="2016-11-13"/>
    <x v="16"/>
    <x v="0"/>
    <s v="Peak"/>
  </r>
  <r>
    <s v="2016-11-13 06"/>
    <n v="37"/>
    <n v="11"/>
    <n v="2"/>
    <n v="10"/>
    <n v="8"/>
    <n v="0.3"/>
    <n v="0.27"/>
    <n v="3"/>
    <s v="2016-11-13"/>
    <x v="17"/>
    <x v="0"/>
    <s v="Peak"/>
  </r>
  <r>
    <s v="2016-11-13 05"/>
    <n v="32"/>
    <n v="13"/>
    <n v="4"/>
    <n v="9"/>
    <n v="10"/>
    <n v="0.4"/>
    <n v="0.54"/>
    <n v="7"/>
    <s v="2016-11-13"/>
    <x v="18"/>
    <x v="0"/>
    <s v="Moderate"/>
  </r>
  <r>
    <s v="2016-11-13 04"/>
    <n v="33"/>
    <n v="10"/>
    <n v="4"/>
    <n v="6"/>
    <n v="11"/>
    <n v="0.3"/>
    <n v="1"/>
    <n v="10"/>
    <s v="2016-11-13"/>
    <x v="19"/>
    <x v="0"/>
    <s v="Moderate"/>
  </r>
  <r>
    <s v="2016-11-13 03"/>
    <n v="42"/>
    <n v="15"/>
    <n v="6"/>
    <n v="9"/>
    <n v="13"/>
    <n v="0.4"/>
    <n v="1.27"/>
    <n v="19"/>
    <s v="2016-11-13"/>
    <x v="20"/>
    <x v="0"/>
    <s v="Moderate"/>
  </r>
  <r>
    <s v="2016-11-13 02"/>
    <n v="47"/>
    <n v="20"/>
    <n v="7"/>
    <n v="14"/>
    <n v="11"/>
    <n v="0.4"/>
    <n v="1.25"/>
    <n v="25"/>
    <s v="2016-11-13"/>
    <x v="21"/>
    <x v="0"/>
    <s v="Moderate"/>
  </r>
  <r>
    <s v="2016-11-13 01"/>
    <n v="60"/>
    <n v="25"/>
    <n v="8"/>
    <n v="17"/>
    <n v="14"/>
    <n v="0.4"/>
    <n v="0.56000000000000005"/>
    <n v="14"/>
    <s v="2016-11-13"/>
    <x v="22"/>
    <x v="0"/>
    <s v="Moderate"/>
  </r>
  <r>
    <s v="2016-11-13 00"/>
    <n v="58"/>
    <n v="24"/>
    <n v="12"/>
    <n v="12"/>
    <n v="16"/>
    <n v="0.4"/>
    <n v="1.33"/>
    <n v="32"/>
    <s v="2016-11-13"/>
    <x v="23"/>
    <x v="0"/>
    <s v="Peak"/>
  </r>
  <r>
    <s v="2016-11-12 23"/>
    <n v="67"/>
    <n v="29"/>
    <n v="14"/>
    <n v="15"/>
    <n v="17"/>
    <n v="0.4"/>
    <n v="1.48"/>
    <n v="43"/>
    <s v="2016-11-12"/>
    <x v="0"/>
    <x v="1"/>
    <s v="Peak"/>
  </r>
  <r>
    <s v="2016-11-12 22"/>
    <n v="68"/>
    <n v="30"/>
    <n v="8"/>
    <n v="22"/>
    <n v="21"/>
    <n v="0.4"/>
    <n v="0.73"/>
    <n v="22"/>
    <s v="2016-11-12"/>
    <x v="1"/>
    <x v="1"/>
    <s v="Off-Peak"/>
  </r>
  <r>
    <s v="2016-11-12 21"/>
    <n v="73"/>
    <n v="30"/>
    <n v="4"/>
    <n v="26"/>
    <n v="21"/>
    <n v="0.4"/>
    <n v="0.4"/>
    <n v="12"/>
    <s v="2016-11-12"/>
    <x v="2"/>
    <x v="1"/>
    <s v="Off-Peak"/>
  </r>
  <r>
    <s v="2016-11-12 20"/>
    <n v="76"/>
    <n v="28"/>
    <n v="5"/>
    <n v="22"/>
    <n v="24"/>
    <n v="0.4"/>
    <n v="0.5"/>
    <n v="14"/>
    <s v="2016-11-12"/>
    <x v="3"/>
    <x v="1"/>
    <s v="Off-Peak"/>
  </r>
  <r>
    <s v="2016-11-12 19"/>
    <n v="72"/>
    <n v="27"/>
    <n v="4"/>
    <n v="23"/>
    <n v="21"/>
    <n v="0.4"/>
    <n v="0.44"/>
    <n v="12"/>
    <s v="2016-11-12"/>
    <x v="4"/>
    <x v="1"/>
    <s v="Off-Peak"/>
  </r>
  <r>
    <s v="2016-11-12 18"/>
    <n v="74"/>
    <n v="24"/>
    <n v="6"/>
    <n v="18"/>
    <n v="18"/>
    <n v="0.3"/>
    <n v="0.71"/>
    <n v="17"/>
    <s v="2016-11-12"/>
    <x v="5"/>
    <x v="1"/>
    <s v="Peak"/>
  </r>
  <r>
    <s v="2016-11-12 17"/>
    <n v="58"/>
    <n v="20"/>
    <n v="5"/>
    <n v="15"/>
    <n v="16"/>
    <n v="0.3"/>
    <n v="0.7"/>
    <n v="14"/>
    <s v="2016-11-12"/>
    <x v="6"/>
    <x v="1"/>
    <s v="Peak"/>
  </r>
  <r>
    <s v="2016-11-12 16"/>
    <n v="63"/>
    <n v="21"/>
    <n v="3"/>
    <n v="18"/>
    <n v="19"/>
    <n v="0.3"/>
    <n v="0.52"/>
    <n v="11"/>
    <s v="2016-11-12"/>
    <x v="7"/>
    <x v="1"/>
    <s v="Moderate"/>
  </r>
  <r>
    <s v="2016-11-12 15"/>
    <n v="71"/>
    <n v="23"/>
    <n v="3"/>
    <n v="20"/>
    <n v="17"/>
    <n v="0.3"/>
    <n v="0.35"/>
    <n v="8"/>
    <s v="2016-11-12"/>
    <x v="8"/>
    <x v="1"/>
    <s v="Peak"/>
  </r>
  <r>
    <s v="2016-11-12 14"/>
    <n v="58"/>
    <n v="19"/>
    <n v="3"/>
    <n v="16"/>
    <n v="17"/>
    <n v="0.3"/>
    <n v="0.37"/>
    <n v="7"/>
    <s v="2016-11-12"/>
    <x v="9"/>
    <x v="1"/>
    <s v="Peak"/>
  </r>
  <r>
    <s v="2016-11-12 13"/>
    <n v="57"/>
    <n v="18"/>
    <n v="5"/>
    <n v="13"/>
    <n v="16"/>
    <n v="0.3"/>
    <n v="0.61"/>
    <n v="11"/>
    <s v="2016-11-12"/>
    <x v="10"/>
    <x v="1"/>
    <s v="Peak"/>
  </r>
  <r>
    <s v="2016-11-12 12"/>
    <n v="47"/>
    <n v="13"/>
    <n v="3"/>
    <n v="10"/>
    <n v="16"/>
    <n v="0.3"/>
    <n v="0.54"/>
    <n v="7"/>
    <s v="2016-11-12"/>
    <x v="11"/>
    <x v="1"/>
    <s v="Peak"/>
  </r>
  <r>
    <s v="2016-11-12 11"/>
    <n v="46"/>
    <n v="12"/>
    <n v="2"/>
    <n v="10"/>
    <n v="13"/>
    <n v="0.3"/>
    <n v="0.33"/>
    <n v="4"/>
    <s v="2016-11-12"/>
    <x v="12"/>
    <x v="1"/>
    <s v="Moderate"/>
  </r>
  <r>
    <s v="2016-11-12 10"/>
    <n v="40"/>
    <n v="12"/>
    <n v="3"/>
    <n v="10"/>
    <n v="10"/>
    <n v="0.3"/>
    <n v="0.5"/>
    <n v="6"/>
    <s v="2016-11-12"/>
    <x v="13"/>
    <x v="1"/>
    <s v="Moderate"/>
  </r>
  <r>
    <s v="2016-11-12 09"/>
    <n v="29"/>
    <n v="12"/>
    <n v="2"/>
    <n v="10"/>
    <n v="8"/>
    <n v="0.4"/>
    <n v="0.25"/>
    <n v="3"/>
    <s v="2016-11-12"/>
    <x v="14"/>
    <x v="1"/>
    <s v="Peak"/>
  </r>
  <r>
    <s v="2016-11-12 08"/>
    <n v="25"/>
    <n v="7"/>
    <n v="2"/>
    <n v="5"/>
    <n v="5"/>
    <n v="0.3"/>
    <n v="0.56999999999999995"/>
    <n v="4"/>
    <s v="2016-11-12"/>
    <x v="15"/>
    <x v="1"/>
    <s v="Off-Peak"/>
  </r>
  <r>
    <s v="2016-11-12 07"/>
    <n v="22"/>
    <n v="10"/>
    <n v="1"/>
    <n v="8"/>
    <n v="4"/>
    <n v="0.5"/>
    <n v="0.3"/>
    <n v="3"/>
    <s v="2016-11-12"/>
    <x v="16"/>
    <x v="1"/>
    <s v="Off-Peak"/>
  </r>
  <r>
    <s v="2016-11-12 06"/>
    <n v="26"/>
    <n v="10"/>
    <n v="1"/>
    <n v="8"/>
    <n v="6"/>
    <n v="0.4"/>
    <n v="0.4"/>
    <n v="4"/>
    <s v="2016-11-12"/>
    <x v="17"/>
    <x v="1"/>
    <s v="Moderate"/>
  </r>
  <r>
    <s v="2016-11-12 05"/>
    <n v="31"/>
    <n v="13"/>
    <n v="3"/>
    <n v="10"/>
    <n v="9"/>
    <n v="0.4"/>
    <n v="0.77"/>
    <n v="10"/>
    <s v="2016-11-12"/>
    <x v="18"/>
    <x v="1"/>
    <s v="Peak"/>
  </r>
  <r>
    <s v="2016-11-12 04"/>
    <n v="38"/>
    <n v="14"/>
    <n v="5"/>
    <n v="9"/>
    <n v="13"/>
    <n v="0.4"/>
    <n v="0.43"/>
    <n v="6"/>
    <s v="2016-11-12"/>
    <x v="19"/>
    <x v="1"/>
    <s v="Moderate"/>
  </r>
  <r>
    <s v="2016-11-12 03"/>
    <n v="46"/>
    <n v="19"/>
    <n v="7"/>
    <n v="12"/>
    <n v="13"/>
    <n v="0.4"/>
    <n v="1"/>
    <n v="19"/>
    <s v="2016-11-12"/>
    <x v="20"/>
    <x v="1"/>
    <s v="Moderate"/>
  </r>
  <r>
    <s v="2016-11-12 02"/>
    <n v="54"/>
    <n v="26"/>
    <n v="6"/>
    <n v="20"/>
    <n v="12"/>
    <n v="0.5"/>
    <n v="0.73"/>
    <n v="19"/>
    <s v="2016-11-12"/>
    <x v="21"/>
    <x v="1"/>
    <s v="Moderate"/>
  </r>
  <r>
    <s v="2016-11-12 01"/>
    <n v="62"/>
    <n v="30"/>
    <n v="11"/>
    <n v="19"/>
    <n v="13"/>
    <n v="0.5"/>
    <n v="0.73"/>
    <n v="22"/>
    <s v="2016-11-12"/>
    <x v="22"/>
    <x v="1"/>
    <s v="Moderate"/>
  </r>
  <r>
    <s v="2016-11-12 00"/>
    <n v="62"/>
    <n v="27"/>
    <n v="20"/>
    <n v="8"/>
    <n v="13"/>
    <n v="0.4"/>
    <n v="1.74"/>
    <n v="47"/>
    <s v="2016-11-12"/>
    <x v="23"/>
    <x v="1"/>
    <s v="Moderate"/>
  </r>
  <r>
    <s v="2016-11-11 23"/>
    <n v="66"/>
    <n v="27"/>
    <n v="12"/>
    <n v="16"/>
    <n v="14"/>
    <n v="0.4"/>
    <n v="1.48"/>
    <n v="40"/>
    <s v="2016-11-11"/>
    <x v="0"/>
    <x v="2"/>
    <s v="Moderate"/>
  </r>
  <r>
    <s v="2016-11-11 22"/>
    <n v="76"/>
    <n v="32"/>
    <n v="7"/>
    <n v="25"/>
    <n v="16"/>
    <n v="0.4"/>
    <n v="0.56000000000000005"/>
    <n v="18"/>
    <s v="2016-11-11"/>
    <x v="1"/>
    <x v="2"/>
    <s v="Peak"/>
  </r>
  <r>
    <s v="2016-11-11 21"/>
    <n v="73"/>
    <n v="29"/>
    <n v="11"/>
    <n v="18"/>
    <n v="17"/>
    <n v="0.4"/>
    <n v="0.72"/>
    <n v="21"/>
    <s v="2016-11-11"/>
    <x v="2"/>
    <x v="2"/>
    <s v="Peak"/>
  </r>
  <r>
    <s v="2016-11-11 20"/>
    <n v="68"/>
    <n v="25"/>
    <n v="17"/>
    <n v="8"/>
    <n v="19"/>
    <n v="0.4"/>
    <n v="1.24"/>
    <n v="31"/>
    <s v="2016-11-11"/>
    <x v="3"/>
    <x v="2"/>
    <s v="Moderate"/>
  </r>
  <r>
    <s v="2016-11-11 19"/>
    <n v="68"/>
    <n v="27"/>
    <n v="18"/>
    <n v="10"/>
    <n v="17"/>
    <n v="0.4"/>
    <n v="1.33"/>
    <n v="36"/>
    <s v="2016-11-11"/>
    <x v="4"/>
    <x v="2"/>
    <s v="Peak"/>
  </r>
  <r>
    <s v="2016-11-11 18"/>
    <n v="66"/>
    <n v="27"/>
    <n v="19"/>
    <n v="9"/>
    <n v="17"/>
    <n v="0.4"/>
    <n v="1.07"/>
    <n v="29"/>
    <s v="2016-11-11"/>
    <x v="5"/>
    <x v="2"/>
    <s v="Peak"/>
  </r>
  <r>
    <s v="2016-11-11 17"/>
    <n v="64"/>
    <n v="29"/>
    <n v="18"/>
    <n v="10"/>
    <n v="16"/>
    <n v="0.5"/>
    <n v="0.9"/>
    <n v="26"/>
    <s v="2016-11-11"/>
    <x v="6"/>
    <x v="2"/>
    <s v="Peak"/>
  </r>
  <r>
    <s v="2016-11-11 16"/>
    <n v="67"/>
    <n v="25"/>
    <n v="12"/>
    <n v="13"/>
    <n v="18"/>
    <n v="0.4"/>
    <n v="0.92"/>
    <n v="23"/>
    <s v="2016-11-11"/>
    <x v="7"/>
    <x v="2"/>
    <s v="Peak"/>
  </r>
  <r>
    <s v="2016-11-11 15"/>
    <n v="70"/>
    <n v="23"/>
    <n v="7"/>
    <n v="16"/>
    <n v="16"/>
    <n v="0.3"/>
    <n v="0.39"/>
    <n v="9"/>
    <s v="2016-11-11"/>
    <x v="8"/>
    <x v="2"/>
    <s v="Peak"/>
  </r>
  <r>
    <s v="2016-11-11 14"/>
    <n v="53"/>
    <n v="22"/>
    <n v="4"/>
    <n v="17"/>
    <n v="17"/>
    <n v="0.4"/>
    <n v="0.45"/>
    <n v="10"/>
    <s v="2016-11-11"/>
    <x v="9"/>
    <x v="2"/>
    <s v="Peak"/>
  </r>
  <r>
    <s v="2016-11-11 13"/>
    <n v="67"/>
    <n v="25"/>
    <n v="6"/>
    <n v="20"/>
    <n v="15"/>
    <n v="0.4"/>
    <n v="0.44"/>
    <n v="11"/>
    <s v="2016-11-11"/>
    <x v="10"/>
    <x v="2"/>
    <s v="Moderate"/>
  </r>
  <r>
    <s v="2016-11-11 12"/>
    <n v="69"/>
    <n v="24"/>
    <n v="6"/>
    <n v="18"/>
    <n v="18"/>
    <n v="0.3"/>
    <n v="0.54"/>
    <n v="13"/>
    <s v="2016-11-11"/>
    <x v="11"/>
    <x v="2"/>
    <s v="Peak"/>
  </r>
  <r>
    <s v="2016-11-11 11"/>
    <n v="61"/>
    <n v="24"/>
    <n v="6"/>
    <n v="18"/>
    <n v="13"/>
    <n v="0.4"/>
    <n v="0.57999999999999996"/>
    <n v="14"/>
    <s v="2016-11-11"/>
    <x v="12"/>
    <x v="2"/>
    <s v="Moderate"/>
  </r>
  <r>
    <s v="2016-11-11 10"/>
    <n v="65"/>
    <n v="25"/>
    <n v="6"/>
    <n v="19"/>
    <n v="18"/>
    <n v="0.4"/>
    <n v="0.24"/>
    <n v="6"/>
    <s v="2016-11-11"/>
    <x v="13"/>
    <x v="2"/>
    <s v="Peak"/>
  </r>
  <r>
    <s v="2016-11-11 09"/>
    <n v="66"/>
    <n v="24"/>
    <n v="13"/>
    <n v="11"/>
    <n v="16"/>
    <n v="0.4"/>
    <n v="1.17"/>
    <n v="28"/>
    <s v="2016-11-11"/>
    <x v="14"/>
    <x v="2"/>
    <s v="Peak"/>
  </r>
  <r>
    <s v="2016-11-11 08"/>
    <n v="49"/>
    <n v="20"/>
    <n v="10"/>
    <n v="10"/>
    <n v="11"/>
    <n v="0.4"/>
    <n v="1.2"/>
    <n v="24"/>
    <s v="2016-11-11"/>
    <x v="15"/>
    <x v="2"/>
    <s v="Moderate"/>
  </r>
  <r>
    <s v="2016-11-11 07"/>
    <n v="36"/>
    <n v="14"/>
    <n v="3"/>
    <n v="11"/>
    <n v="4"/>
    <n v="0.4"/>
    <n v="0.5"/>
    <n v="7"/>
    <s v="2016-11-11"/>
    <x v="16"/>
    <x v="2"/>
    <s v="Off-Peak"/>
  </r>
  <r>
    <s v="2016-11-11 06"/>
    <n v="18"/>
    <n v="8"/>
    <n v="0"/>
    <n v="8"/>
    <n v="4"/>
    <n v="0.4"/>
    <n v="0.13"/>
    <n v="1"/>
    <s v="2016-11-11"/>
    <x v="17"/>
    <x v="2"/>
    <s v="Off-Peak"/>
  </r>
  <r>
    <s v="2016-11-11 05"/>
    <n v="21"/>
    <n v="8"/>
    <n v="1"/>
    <n v="7"/>
    <n v="5"/>
    <n v="0.4"/>
    <n v="0.13"/>
    <n v="1"/>
    <s v="2016-11-11"/>
    <x v="18"/>
    <x v="2"/>
    <s v="Off-Peak"/>
  </r>
  <r>
    <s v="2016-11-11 04"/>
    <n v="25"/>
    <n v="10"/>
    <n v="1"/>
    <n v="9"/>
    <n v="7"/>
    <n v="0.4"/>
    <n v="0.2"/>
    <n v="2"/>
    <s v="2016-11-11"/>
    <x v="19"/>
    <x v="2"/>
    <s v="Peak"/>
  </r>
  <r>
    <s v="2016-11-11 03"/>
    <n v="25"/>
    <n v="9"/>
    <n v="0"/>
    <n v="9"/>
    <n v="7"/>
    <n v="0.4"/>
    <n v="0"/>
    <n v="0"/>
    <s v="2016-11-11"/>
    <x v="20"/>
    <x v="2"/>
    <s v="Peak"/>
  </r>
  <r>
    <s v="2016-11-11 02"/>
    <n v="30"/>
    <n v="13"/>
    <n v="2"/>
    <n v="11"/>
    <n v="7"/>
    <n v="0.4"/>
    <n v="0.38"/>
    <n v="5"/>
    <s v="2016-11-11"/>
    <x v="21"/>
    <x v="2"/>
    <s v="Peak"/>
  </r>
  <r>
    <s v="2016-11-11 01"/>
    <n v="44"/>
    <n v="18"/>
    <n v="3"/>
    <n v="15"/>
    <n v="11"/>
    <n v="0.4"/>
    <n v="0.39"/>
    <n v="7"/>
    <s v="2016-11-11"/>
    <x v="22"/>
    <x v="2"/>
    <s v="Moderate"/>
  </r>
  <r>
    <s v="2016-11-11 00"/>
    <n v="53"/>
    <n v="19"/>
    <n v="4"/>
    <n v="14"/>
    <n v="18"/>
    <n v="0.4"/>
    <n v="0.68"/>
    <n v="13"/>
    <s v="2016-11-11"/>
    <x v="23"/>
    <x v="2"/>
    <s v="Peak"/>
  </r>
  <r>
    <s v="2016-11-10 23"/>
    <n v="64"/>
    <n v="23"/>
    <n v="7"/>
    <n v="17"/>
    <n v="20"/>
    <n v="0.4"/>
    <n v="0.56999999999999995"/>
    <n v="13"/>
    <s v="2016-11-10"/>
    <x v="0"/>
    <x v="3"/>
    <s v="Off-Peak"/>
  </r>
  <r>
    <s v="2016-11-10 22"/>
    <n v="71"/>
    <n v="31"/>
    <n v="6"/>
    <n v="25"/>
    <n v="23"/>
    <n v="0.4"/>
    <n v="0.57999999999999996"/>
    <n v="18"/>
    <s v="2016-11-10"/>
    <x v="1"/>
    <x v="3"/>
    <s v="Off-Peak"/>
  </r>
  <r>
    <s v="2016-11-10 21"/>
    <n v="93"/>
    <n v="34"/>
    <n v="3"/>
    <n v="31"/>
    <n v="24"/>
    <n v="0.4"/>
    <n v="0.28999999999999998"/>
    <n v="10"/>
    <s v="2016-11-10"/>
    <x v="2"/>
    <x v="3"/>
    <s v="Off-Peak"/>
  </r>
  <r>
    <s v="2016-11-10 20"/>
    <n v="99"/>
    <n v="45"/>
    <n v="8"/>
    <n v="37"/>
    <n v="23"/>
    <n v="0.5"/>
    <n v="0.42"/>
    <n v="19"/>
    <s v="2016-11-10"/>
    <x v="3"/>
    <x v="3"/>
    <s v="Off-Peak"/>
  </r>
  <r>
    <s v="2016-11-10 19"/>
    <n v="103"/>
    <n v="45"/>
    <n v="13"/>
    <n v="32"/>
    <n v="29"/>
    <n v="0.4"/>
    <n v="0.57999999999999996"/>
    <n v="26"/>
    <s v="2016-11-10"/>
    <x v="4"/>
    <x v="3"/>
    <s v="Off-Peak"/>
  </r>
  <r>
    <s v="2016-11-10 18"/>
    <n v="99"/>
    <n v="40"/>
    <n v="18"/>
    <n v="22"/>
    <n v="25"/>
    <n v="0.4"/>
    <n v="0.7"/>
    <n v="28"/>
    <s v="2016-11-10"/>
    <x v="5"/>
    <x v="3"/>
    <s v="Off-Peak"/>
  </r>
  <r>
    <s v="2016-11-10 17"/>
    <n v="90"/>
    <n v="35"/>
    <n v="10"/>
    <n v="24"/>
    <n v="23"/>
    <n v="0.4"/>
    <n v="0.63"/>
    <n v="22"/>
    <s v="2016-11-10"/>
    <x v="6"/>
    <x v="3"/>
    <s v="Off-Peak"/>
  </r>
  <r>
    <s v="2016-11-10 16"/>
    <n v="79"/>
    <n v="33"/>
    <n v="4"/>
    <n v="29"/>
    <n v="24"/>
    <n v="0.4"/>
    <n v="0.24"/>
    <n v="8"/>
    <s v="2016-11-10"/>
    <x v="7"/>
    <x v="3"/>
    <s v="Off-Peak"/>
  </r>
  <r>
    <s v="2016-11-10 15"/>
    <n v="81"/>
    <n v="30"/>
    <n v="1"/>
    <n v="29"/>
    <n v="25"/>
    <n v="0.4"/>
    <n v="0.13"/>
    <n v="4"/>
    <s v="2016-11-10"/>
    <x v="8"/>
    <x v="3"/>
    <s v="Off-Peak"/>
  </r>
  <r>
    <s v="2016-11-10 14"/>
    <n v="79"/>
    <n v="34"/>
    <n v="3"/>
    <n v="31"/>
    <n v="19"/>
    <n v="0.4"/>
    <n v="0.21"/>
    <n v="7"/>
    <s v="2016-11-10"/>
    <x v="9"/>
    <x v="3"/>
    <s v="Moderate"/>
  </r>
  <r>
    <s v="2016-11-10 13"/>
    <n v="87"/>
    <n v="28"/>
    <n v="3"/>
    <n v="24"/>
    <n v="23"/>
    <n v="0.3"/>
    <n v="0.25"/>
    <n v="7"/>
    <s v="2016-11-10"/>
    <x v="10"/>
    <x v="3"/>
    <s v="Off-Peak"/>
  </r>
  <r>
    <s v="2016-11-10 12"/>
    <n v="78"/>
    <n v="27"/>
    <n v="4"/>
    <n v="23"/>
    <n v="23"/>
    <n v="0.3"/>
    <n v="0.26"/>
    <n v="7"/>
    <s v="2016-11-10"/>
    <x v="11"/>
    <x v="3"/>
    <s v="Off-Peak"/>
  </r>
  <r>
    <s v="2016-11-10 11"/>
    <n v="78"/>
    <n v="31"/>
    <n v="4"/>
    <n v="27"/>
    <n v="17"/>
    <n v="0.4"/>
    <n v="0.19"/>
    <n v="6"/>
    <s v="2016-11-10"/>
    <x v="12"/>
    <x v="3"/>
    <s v="Peak"/>
  </r>
  <r>
    <s v="2016-11-10 10"/>
    <n v="75"/>
    <n v="31"/>
    <n v="7"/>
    <n v="23"/>
    <n v="16"/>
    <n v="0.4"/>
    <n v="0.32"/>
    <n v="10"/>
    <s v="2016-11-10"/>
    <x v="13"/>
    <x v="3"/>
    <s v="Peak"/>
  </r>
  <r>
    <s v="2016-11-10 09"/>
    <n v="63"/>
    <n v="26"/>
    <n v="12"/>
    <n v="13"/>
    <n v="13"/>
    <n v="0.4"/>
    <n v="1"/>
    <n v="26"/>
    <s v="2016-11-10"/>
    <x v="14"/>
    <x v="3"/>
    <s v="Moderate"/>
  </r>
  <r>
    <s v="2016-11-10 08"/>
    <n v="54"/>
    <n v="16"/>
    <n v="7"/>
    <n v="9"/>
    <n v="16"/>
    <n v="0.3"/>
    <n v="0.69"/>
    <n v="11"/>
    <s v="2016-11-10"/>
    <x v="15"/>
    <x v="3"/>
    <s v="Peak"/>
  </r>
  <r>
    <s v="2016-11-10 07"/>
    <n v="41"/>
    <n v="14"/>
    <n v="4"/>
    <n v="11"/>
    <n v="11"/>
    <n v="0.3"/>
    <n v="0.71"/>
    <n v="10"/>
    <s v="2016-11-10"/>
    <x v="16"/>
    <x v="3"/>
    <s v="Moderate"/>
  </r>
  <r>
    <s v="2016-11-10 06"/>
    <n v="32"/>
    <n v="12"/>
    <n v="0"/>
    <n v="12"/>
    <n v="10"/>
    <n v="0.4"/>
    <n v="0.08"/>
    <n v="1"/>
    <s v="2016-11-10"/>
    <x v="17"/>
    <x v="3"/>
    <s v="Moderate"/>
  </r>
  <r>
    <s v="2016-11-10 05"/>
    <n v="26"/>
    <n v="11"/>
    <n v="0"/>
    <n v="10"/>
    <n v="11"/>
    <n v="0.4"/>
    <n v="0.09"/>
    <n v="1"/>
    <s v="2016-11-10"/>
    <x v="18"/>
    <x v="3"/>
    <s v="Moderate"/>
  </r>
  <r>
    <s v="2016-11-10 04"/>
    <n v="26"/>
    <n v="11"/>
    <n v="0"/>
    <n v="11"/>
    <n v="10"/>
    <n v="0.4"/>
    <n v="0.09"/>
    <n v="1"/>
    <s v="2016-11-10"/>
    <x v="19"/>
    <x v="3"/>
    <s v="Moderate"/>
  </r>
  <r>
    <s v="2016-11-10 03"/>
    <n v="26"/>
    <n v="10"/>
    <n v="0"/>
    <n v="10"/>
    <n v="10"/>
    <n v="0.4"/>
    <n v="0"/>
    <n v="0"/>
    <s v="2016-11-10"/>
    <x v="20"/>
    <x v="3"/>
    <s v="Moderate"/>
  </r>
  <r>
    <s v="2016-11-10 02"/>
    <n v="31"/>
    <n v="13"/>
    <n v="0"/>
    <n v="13"/>
    <n v="9"/>
    <n v="0.4"/>
    <n v="0"/>
    <n v="0"/>
    <s v="2016-11-10"/>
    <x v="21"/>
    <x v="3"/>
    <s v="Peak"/>
  </r>
  <r>
    <s v="2016-11-10 01"/>
    <n v="38"/>
    <n v="15"/>
    <n v="2"/>
    <n v="13"/>
    <n v="10"/>
    <n v="0.4"/>
    <n v="0.4"/>
    <n v="6"/>
    <s v="2016-11-10"/>
    <x v="22"/>
    <x v="3"/>
    <s v="Moderate"/>
  </r>
  <r>
    <s v="2016-11-10 00"/>
    <n v="49"/>
    <n v="18"/>
    <n v="4"/>
    <n v="14"/>
    <n v="16"/>
    <n v="0.4"/>
    <n v="0.44"/>
    <n v="8"/>
    <s v="2016-11-10"/>
    <x v="23"/>
    <x v="3"/>
    <s v="Peak"/>
  </r>
  <r>
    <s v="2016-11-09 23"/>
    <n v="66"/>
    <n v="24"/>
    <n v="5"/>
    <n v="19"/>
    <n v="19"/>
    <n v="0.4"/>
    <n v="0.63"/>
    <n v="15"/>
    <s v="2016-11-09"/>
    <x v="0"/>
    <x v="4"/>
    <s v="Moderate"/>
  </r>
  <r>
    <s v="2016-11-09 22"/>
    <n v="86"/>
    <n v="27"/>
    <n v="5"/>
    <n v="22"/>
    <n v="23"/>
    <n v="0.3"/>
    <n v="0.48"/>
    <n v="13"/>
    <s v="2016-11-09"/>
    <x v="1"/>
    <x v="4"/>
    <s v="Off-Peak"/>
  </r>
  <r>
    <s v="2016-11-09 21"/>
    <n v="90"/>
    <n v="36"/>
    <n v="6"/>
    <n v="30"/>
    <n v="20"/>
    <n v="0.4"/>
    <n v="0.47"/>
    <n v="17"/>
    <s v="2016-11-09"/>
    <x v="2"/>
    <x v="4"/>
    <s v="Off-Peak"/>
  </r>
  <r>
    <s v="2016-11-09 20"/>
    <n v="94"/>
    <n v="45"/>
    <n v="11"/>
    <n v="34"/>
    <n v="20"/>
    <n v="0.5"/>
    <n v="0.51"/>
    <n v="23"/>
    <s v="2016-11-09"/>
    <x v="3"/>
    <x v="4"/>
    <s v="Off-Peak"/>
  </r>
  <r>
    <s v="2016-11-09 19"/>
    <n v="93"/>
    <n v="41"/>
    <n v="18"/>
    <n v="23"/>
    <n v="20"/>
    <n v="0.4"/>
    <n v="0.68"/>
    <n v="28"/>
    <s v="2016-11-09"/>
    <x v="4"/>
    <x v="4"/>
    <s v="Off-Peak"/>
  </r>
  <r>
    <s v="2016-11-09 18"/>
    <n v="86"/>
    <n v="33"/>
    <n v="17"/>
    <n v="16"/>
    <n v="23"/>
    <n v="0.4"/>
    <n v="0.94"/>
    <n v="31"/>
    <s v="2016-11-09"/>
    <x v="5"/>
    <x v="4"/>
    <s v="Off-Peak"/>
  </r>
  <r>
    <s v="2016-11-09 17"/>
    <n v="85"/>
    <n v="37"/>
    <n v="10"/>
    <n v="27"/>
    <n v="21"/>
    <n v="0.4"/>
    <n v="0.43"/>
    <n v="16"/>
    <s v="2016-11-09"/>
    <x v="6"/>
    <x v="4"/>
    <s v="Off-Peak"/>
  </r>
  <r>
    <s v="2016-11-09 16"/>
    <n v="95"/>
    <n v="28"/>
    <n v="5"/>
    <n v="22"/>
    <n v="24"/>
    <n v="0.3"/>
    <n v="0.46"/>
    <n v="13"/>
    <s v="2016-11-09"/>
    <x v="7"/>
    <x v="4"/>
    <s v="Off-Peak"/>
  </r>
  <r>
    <s v="2016-11-09 15"/>
    <n v="75"/>
    <n v="26"/>
    <n v="2"/>
    <n v="24"/>
    <n v="21"/>
    <n v="0.3"/>
    <n v="0.15"/>
    <n v="4"/>
    <s v="2016-11-09"/>
    <x v="8"/>
    <x v="4"/>
    <s v="Off-Peak"/>
  </r>
  <r>
    <s v="2016-11-09 14"/>
    <n v="72"/>
    <n v="28"/>
    <n v="2"/>
    <n v="26"/>
    <n v="20"/>
    <n v="0.4"/>
    <n v="0.14000000000000001"/>
    <n v="4"/>
    <s v="2016-11-09"/>
    <x v="9"/>
    <x v="4"/>
    <s v="Off-Peak"/>
  </r>
  <r>
    <s v="2016-11-09 13"/>
    <n v="81"/>
    <n v="30"/>
    <n v="4"/>
    <n v="25"/>
    <n v="21"/>
    <n v="0.4"/>
    <n v="0.17"/>
    <n v="5"/>
    <s v="2016-11-09"/>
    <x v="10"/>
    <x v="4"/>
    <s v="Off-Peak"/>
  </r>
  <r>
    <s v="2016-11-09 12"/>
    <n v="75"/>
    <n v="27"/>
    <n v="3"/>
    <n v="23"/>
    <n v="25"/>
    <n v="0.4"/>
    <n v="0.33"/>
    <n v="9"/>
    <s v="2016-11-09"/>
    <x v="11"/>
    <x v="4"/>
    <s v="Off-Peak"/>
  </r>
  <r>
    <s v="2016-11-09 11"/>
    <n v="76"/>
    <n v="27"/>
    <n v="5"/>
    <n v="22"/>
    <n v="20"/>
    <n v="0.4"/>
    <n v="0.26"/>
    <n v="7"/>
    <s v="2016-11-09"/>
    <x v="12"/>
    <x v="4"/>
    <s v="Off-Peak"/>
  </r>
  <r>
    <s v="2016-11-09 10"/>
    <n v="70"/>
    <n v="28"/>
    <n v="7"/>
    <n v="22"/>
    <n v="16"/>
    <n v="0.4"/>
    <n v="0.36"/>
    <n v="10"/>
    <s v="2016-11-09"/>
    <x v="13"/>
    <x v="4"/>
    <s v="Peak"/>
  </r>
  <r>
    <s v="2016-11-09 09"/>
    <n v="55"/>
    <n v="26"/>
    <n v="15"/>
    <n v="11"/>
    <n v="14"/>
    <n v="0.5"/>
    <n v="1"/>
    <n v="26"/>
    <s v="2016-11-09"/>
    <x v="14"/>
    <x v="4"/>
    <s v="Moderate"/>
  </r>
  <r>
    <s v="2016-11-09 08"/>
    <n v="49"/>
    <n v="18"/>
    <n v="10"/>
    <n v="8"/>
    <n v="10"/>
    <n v="0.4"/>
    <n v="1.06"/>
    <n v="19"/>
    <s v="2016-11-09"/>
    <x v="15"/>
    <x v="4"/>
    <s v="Moderate"/>
  </r>
  <r>
    <s v="2016-11-09 07"/>
    <n v="37"/>
    <n v="13"/>
    <n v="3"/>
    <n v="10"/>
    <n v="9"/>
    <n v="0.4"/>
    <n v="0.77"/>
    <n v="10"/>
    <s v="2016-11-09"/>
    <x v="16"/>
    <x v="4"/>
    <s v="Peak"/>
  </r>
  <r>
    <s v="2016-11-09 06"/>
    <n v="24"/>
    <n v="6"/>
    <n v="0"/>
    <n v="6"/>
    <n v="7"/>
    <n v="0.3"/>
    <n v="0"/>
    <n v="0"/>
    <s v="2016-11-09"/>
    <x v="17"/>
    <x v="4"/>
    <s v="Peak"/>
  </r>
  <r>
    <s v="2016-11-09 05"/>
    <n v="14"/>
    <n v="4"/>
    <n v="0"/>
    <n v="4"/>
    <n v="4"/>
    <n v="0.3"/>
    <n v="0.25"/>
    <n v="1"/>
    <s v="2016-11-09"/>
    <x v="18"/>
    <x v="4"/>
    <s v="Off-Peak"/>
  </r>
  <r>
    <s v="2016-11-09 04"/>
    <n v="14"/>
    <n v="5"/>
    <n v="0"/>
    <n v="5"/>
    <n v="6"/>
    <n v="0.4"/>
    <n v="0"/>
    <n v="0"/>
    <s v="2016-11-09"/>
    <x v="19"/>
    <x v="4"/>
    <s v="Moderate"/>
  </r>
  <r>
    <s v="2016-11-09 03"/>
    <n v="17"/>
    <n v="8"/>
    <n v="0"/>
    <n v="7"/>
    <n v="5"/>
    <n v="0.5"/>
    <n v="0.13"/>
    <n v="1"/>
    <s v="2016-11-09"/>
    <x v="20"/>
    <x v="4"/>
    <s v="Off-Peak"/>
  </r>
  <r>
    <s v="2016-11-09 02"/>
    <n v="25"/>
    <n v="12"/>
    <n v="1"/>
    <n v="11"/>
    <n v="6"/>
    <n v="0.5"/>
    <n v="0.08"/>
    <n v="1"/>
    <s v="2016-11-09"/>
    <x v="21"/>
    <x v="4"/>
    <s v="Moderate"/>
  </r>
  <r>
    <s v="2016-11-09 01"/>
    <n v="31"/>
    <n v="18"/>
    <n v="3"/>
    <n v="15"/>
    <n v="8"/>
    <n v="0.6"/>
    <n v="0.39"/>
    <n v="7"/>
    <s v="2016-11-09"/>
    <x v="22"/>
    <x v="4"/>
    <s v="Peak"/>
  </r>
  <r>
    <s v="2016-11-09 00"/>
    <n v="44"/>
    <n v="19"/>
    <n v="3"/>
    <n v="16"/>
    <n v="8"/>
    <n v="0.4"/>
    <n v="0.47"/>
    <n v="9"/>
    <s v="2016-11-09"/>
    <x v="23"/>
    <x v="4"/>
    <s v="Peak"/>
  </r>
  <r>
    <s v="2016-11-08 23"/>
    <n v="49"/>
    <n v="21"/>
    <n v="7"/>
    <n v="14"/>
    <n v="13"/>
    <n v="0.4"/>
    <n v="1"/>
    <n v="21"/>
    <s v="2016-11-08"/>
    <x v="0"/>
    <x v="5"/>
    <s v="Moderate"/>
  </r>
  <r>
    <s v="2016-11-08 22"/>
    <n v="61"/>
    <n v="26"/>
    <n v="4"/>
    <n v="22"/>
    <n v="14"/>
    <n v="0.4"/>
    <n v="0.46"/>
    <n v="12"/>
    <s v="2016-11-08"/>
    <x v="1"/>
    <x v="5"/>
    <s v="Moderate"/>
  </r>
  <r>
    <s v="2016-11-08 21"/>
    <n v="75"/>
    <n v="26"/>
    <n v="5"/>
    <n v="21"/>
    <n v="19"/>
    <n v="0.3"/>
    <n v="0.65"/>
    <n v="17"/>
    <s v="2016-11-08"/>
    <x v="2"/>
    <x v="5"/>
    <s v="Moderate"/>
  </r>
  <r>
    <s v="2016-11-08 20"/>
    <n v="85"/>
    <n v="29"/>
    <n v="11"/>
    <n v="19"/>
    <n v="25"/>
    <n v="0.3"/>
    <n v="0.76"/>
    <n v="22"/>
    <s v="2016-11-08"/>
    <x v="3"/>
    <x v="5"/>
    <s v="Off-Peak"/>
  </r>
  <r>
    <s v="2016-11-08 19"/>
    <n v="83"/>
    <n v="31"/>
    <n v="12"/>
    <n v="19"/>
    <n v="22"/>
    <n v="0.4"/>
    <n v="0.87"/>
    <n v="27"/>
    <s v="2016-11-08"/>
    <x v="4"/>
    <x v="5"/>
    <s v="Off-Peak"/>
  </r>
  <r>
    <s v="2016-11-08 18"/>
    <n v="73"/>
    <n v="22"/>
    <n v="14"/>
    <n v="9"/>
    <n v="20"/>
    <n v="0.3"/>
    <n v="0.82"/>
    <n v="18"/>
    <s v="2016-11-08"/>
    <x v="5"/>
    <x v="5"/>
    <s v="Off-Peak"/>
  </r>
  <r>
    <s v="2016-11-08 17"/>
    <n v="78"/>
    <n v="26"/>
    <n v="10"/>
    <n v="16"/>
    <n v="21"/>
    <n v="0.3"/>
    <n v="0.92"/>
    <n v="24"/>
    <s v="2016-11-08"/>
    <x v="6"/>
    <x v="5"/>
    <s v="Off-Peak"/>
  </r>
  <r>
    <s v="2016-11-08 16"/>
    <n v="83"/>
    <n v="32"/>
    <n v="3"/>
    <n v="29"/>
    <n v="21"/>
    <n v="0.4"/>
    <n v="0.22"/>
    <n v="7"/>
    <s v="2016-11-08"/>
    <x v="7"/>
    <x v="5"/>
    <s v="Off-Peak"/>
  </r>
  <r>
    <s v="2016-11-08 15"/>
    <n v="78"/>
    <n v="33"/>
    <n v="1"/>
    <n v="32"/>
    <n v="19"/>
    <n v="0.4"/>
    <n v="0.06"/>
    <n v="2"/>
    <s v="2016-11-08"/>
    <x v="8"/>
    <x v="5"/>
    <s v="Moderate"/>
  </r>
  <r>
    <s v="2016-11-08 14"/>
    <n v="72"/>
    <n v="26"/>
    <n v="3"/>
    <n v="22"/>
    <n v="14"/>
    <n v="0.4"/>
    <n v="0.15"/>
    <n v="4"/>
    <s v="2016-11-08"/>
    <x v="9"/>
    <x v="5"/>
    <s v="Moderate"/>
  </r>
  <r>
    <s v="2016-11-08 13"/>
    <n v="70"/>
    <n v="27"/>
    <n v="5"/>
    <n v="22"/>
    <n v="13"/>
    <n v="0.4"/>
    <n v="0.37"/>
    <n v="10"/>
    <s v="2016-11-08"/>
    <x v="10"/>
    <x v="5"/>
    <s v="Moderate"/>
  </r>
  <r>
    <s v="2016-11-08 12"/>
    <n v="77"/>
    <n v="32"/>
    <n v="3"/>
    <n v="30"/>
    <n v="17"/>
    <n v="0.4"/>
    <n v="0.19"/>
    <n v="6"/>
    <s v="2016-11-08"/>
    <x v="11"/>
    <x v="5"/>
    <s v="Peak"/>
  </r>
  <r>
    <s v="2016-11-08 11"/>
    <n v="82"/>
    <n v="35"/>
    <n v="4"/>
    <n v="30"/>
    <n v="15"/>
    <n v="0.4"/>
    <n v="0.23"/>
    <n v="8"/>
    <s v="2016-11-08"/>
    <x v="12"/>
    <x v="5"/>
    <s v="Moderate"/>
  </r>
  <r>
    <s v="2016-11-08 10"/>
    <n v="84"/>
    <n v="42"/>
    <n v="7"/>
    <n v="35"/>
    <n v="18"/>
    <n v="0.5"/>
    <n v="0.26"/>
    <n v="11"/>
    <s v="2016-11-08"/>
    <x v="13"/>
    <x v="5"/>
    <s v="Peak"/>
  </r>
  <r>
    <s v="2016-11-08 09"/>
    <n v="78"/>
    <n v="35"/>
    <n v="13"/>
    <n v="21"/>
    <n v="17"/>
    <n v="0.4"/>
    <n v="0.71"/>
    <n v="25"/>
    <s v="2016-11-08"/>
    <x v="14"/>
    <x v="5"/>
    <s v="Peak"/>
  </r>
  <r>
    <s v="2016-11-08 08"/>
    <n v="61"/>
    <n v="23"/>
    <n v="10"/>
    <n v="14"/>
    <n v="18"/>
    <n v="0.4"/>
    <n v="0.74"/>
    <n v="17"/>
    <s v="2016-11-08"/>
    <x v="15"/>
    <x v="5"/>
    <s v="Peak"/>
  </r>
  <r>
    <s v="2016-11-08 07"/>
    <n v="55"/>
    <n v="23"/>
    <n v="7"/>
    <n v="16"/>
    <n v="12"/>
    <n v="0.4"/>
    <n v="0.74"/>
    <n v="17"/>
    <s v="2016-11-08"/>
    <x v="16"/>
    <x v="5"/>
    <s v="Moderate"/>
  </r>
  <r>
    <s v="2016-11-08 06"/>
    <n v="39"/>
    <n v="20"/>
    <n v="0"/>
    <n v="19"/>
    <n v="8"/>
    <n v="0.5"/>
    <n v="0.1"/>
    <n v="2"/>
    <s v="2016-11-08"/>
    <x v="17"/>
    <x v="5"/>
    <s v="Peak"/>
  </r>
  <r>
    <s v="2016-11-08 05"/>
    <n v="34"/>
    <n v="17"/>
    <n v="0"/>
    <n v="17"/>
    <n v="8"/>
    <n v="0.5"/>
    <n v="0"/>
    <n v="0"/>
    <s v="2016-11-08"/>
    <x v="18"/>
    <x v="5"/>
    <s v="Peak"/>
  </r>
  <r>
    <s v="2016-11-08 04"/>
    <n v="27"/>
    <n v="16"/>
    <n v="0"/>
    <n v="16"/>
    <n v="8"/>
    <n v="0.6"/>
    <n v="0"/>
    <n v="0"/>
    <s v="2016-11-08"/>
    <x v="19"/>
    <x v="5"/>
    <s v="Peak"/>
  </r>
  <r>
    <s v="2016-11-08 03"/>
    <n v="26"/>
    <n v="14"/>
    <n v="0"/>
    <n v="14"/>
    <n v="8"/>
    <n v="0.5"/>
    <n v="7.0000000000000007E-2"/>
    <n v="1"/>
    <s v="2016-11-08"/>
    <x v="20"/>
    <x v="5"/>
    <s v="Peak"/>
  </r>
  <r>
    <s v="2016-11-08 02"/>
    <n v="29"/>
    <n v="16"/>
    <n v="0"/>
    <n v="16"/>
    <n v="9"/>
    <n v="0.6"/>
    <n v="0"/>
    <n v="0"/>
    <s v="2016-11-08"/>
    <x v="21"/>
    <x v="5"/>
    <s v="Peak"/>
  </r>
  <r>
    <s v="2016-11-08 01"/>
    <n v="33"/>
    <n v="16"/>
    <n v="1"/>
    <n v="15"/>
    <n v="10"/>
    <n v="0.5"/>
    <n v="0.13"/>
    <n v="2"/>
    <s v="2016-11-08"/>
    <x v="22"/>
    <x v="5"/>
    <s v="Moderate"/>
  </r>
  <r>
    <s v="2016-11-08 00"/>
    <n v="45"/>
    <n v="17"/>
    <n v="2"/>
    <n v="15"/>
    <n v="13"/>
    <n v="0.4"/>
    <n v="0.35"/>
    <n v="6"/>
    <s v="2016-11-08"/>
    <x v="23"/>
    <x v="5"/>
    <s v="Moderate"/>
  </r>
  <r>
    <s v="2016-11-07 23"/>
    <n v="57"/>
    <n v="22"/>
    <n v="3"/>
    <n v="19"/>
    <n v="17"/>
    <n v="0.4"/>
    <n v="0.41"/>
    <n v="9"/>
    <s v="2016-11-07"/>
    <x v="0"/>
    <x v="6"/>
    <s v="Peak"/>
  </r>
  <r>
    <s v="2016-11-07 22"/>
    <n v="66"/>
    <n v="24"/>
    <n v="3"/>
    <n v="21"/>
    <n v="20"/>
    <n v="0.4"/>
    <n v="0.33"/>
    <n v="8"/>
    <s v="2016-11-07"/>
    <x v="1"/>
    <x v="6"/>
    <s v="Off-Peak"/>
  </r>
  <r>
    <s v="2016-11-07 21"/>
    <n v="82"/>
    <n v="33"/>
    <n v="5"/>
    <n v="28"/>
    <n v="20"/>
    <n v="0.4"/>
    <n v="0.42"/>
    <n v="14"/>
    <s v="2016-11-07"/>
    <x v="2"/>
    <x v="6"/>
    <s v="Off-Peak"/>
  </r>
  <r>
    <s v="2016-11-07 20"/>
    <n v="87"/>
    <n v="37"/>
    <n v="2"/>
    <n v="35"/>
    <n v="18"/>
    <n v="0.4"/>
    <n v="0.14000000000000001"/>
    <n v="5"/>
    <s v="2016-11-07"/>
    <x v="3"/>
    <x v="6"/>
    <s v="Peak"/>
  </r>
  <r>
    <s v="2016-11-07 19"/>
    <n v="83"/>
    <n v="38"/>
    <n v="10"/>
    <n v="28"/>
    <n v="17"/>
    <n v="0.5"/>
    <n v="0.42"/>
    <n v="16"/>
    <s v="2016-11-07"/>
    <x v="4"/>
    <x v="6"/>
    <s v="Peak"/>
  </r>
  <r>
    <s v="2016-11-07 18"/>
    <n v="74"/>
    <n v="29"/>
    <n v="10"/>
    <n v="19"/>
    <n v="19"/>
    <n v="0.4"/>
    <n v="0.52"/>
    <n v="15"/>
    <s v="2016-11-07"/>
    <x v="5"/>
    <x v="6"/>
    <s v="Moderate"/>
  </r>
  <r>
    <s v="2016-11-07 17"/>
    <n v="77"/>
    <n v="35"/>
    <n v="7"/>
    <n v="28"/>
    <n v="14"/>
    <n v="0.5"/>
    <n v="0.31"/>
    <n v="11"/>
    <s v="2016-11-07"/>
    <x v="6"/>
    <x v="6"/>
    <s v="Moderate"/>
  </r>
  <r>
    <s v="2016-11-07 16"/>
    <n v="63"/>
    <n v="27"/>
    <n v="5"/>
    <n v="22"/>
    <n v="15"/>
    <n v="0.4"/>
    <n v="0.37"/>
    <n v="10"/>
    <s v="2016-11-07"/>
    <x v="7"/>
    <x v="6"/>
    <s v="Moderate"/>
  </r>
  <r>
    <s v="2016-11-07 15"/>
    <n v="62"/>
    <n v="24"/>
    <n v="5"/>
    <n v="20"/>
    <n v="16"/>
    <n v="0.4"/>
    <n v="0.46"/>
    <n v="11"/>
    <s v="2016-11-07"/>
    <x v="8"/>
    <x v="6"/>
    <s v="Peak"/>
  </r>
  <r>
    <s v="2016-11-07 14"/>
    <n v="56"/>
    <n v="22"/>
    <n v="2"/>
    <n v="21"/>
    <n v="16"/>
    <n v="0.4"/>
    <n v="0.14000000000000001"/>
    <n v="3"/>
    <s v="2016-11-07"/>
    <x v="9"/>
    <x v="6"/>
    <s v="Peak"/>
  </r>
  <r>
    <s v="2016-11-07 13"/>
    <n v="56"/>
    <n v="20"/>
    <n v="2"/>
    <n v="18"/>
    <n v="15"/>
    <n v="0.4"/>
    <n v="0.25"/>
    <n v="5"/>
    <s v="2016-11-07"/>
    <x v="10"/>
    <x v="6"/>
    <s v="Moderate"/>
  </r>
  <r>
    <s v="2016-11-07 12"/>
    <n v="62"/>
    <n v="23"/>
    <n v="2"/>
    <n v="20"/>
    <n v="17"/>
    <n v="0.4"/>
    <n v="0.26"/>
    <n v="6"/>
    <s v="2016-11-07"/>
    <x v="11"/>
    <x v="6"/>
    <s v="Peak"/>
  </r>
  <r>
    <s v="2016-11-07 11"/>
    <n v="53"/>
    <n v="20"/>
    <n v="3"/>
    <n v="18"/>
    <n v="17"/>
    <n v="0.4"/>
    <n v="0.25"/>
    <n v="5"/>
    <s v="2016-11-07"/>
    <x v="12"/>
    <x v="6"/>
    <s v="Peak"/>
  </r>
  <r>
    <s v="2016-11-07 10"/>
    <n v="59"/>
    <n v="22"/>
    <n v="6"/>
    <n v="17"/>
    <n v="14"/>
    <n v="0.4"/>
    <n v="0.23"/>
    <n v="5"/>
    <s v="2016-11-07"/>
    <x v="13"/>
    <x v="6"/>
    <s v="Moderate"/>
  </r>
  <r>
    <s v="2016-11-07 09"/>
    <n v="50"/>
    <n v="18"/>
    <n v="10"/>
    <n v="8"/>
    <n v="13"/>
    <n v="0.4"/>
    <n v="1.17"/>
    <n v="21"/>
    <s v="2016-11-07"/>
    <x v="14"/>
    <x v="6"/>
    <s v="Moderate"/>
  </r>
  <r>
    <s v="2016-11-07 08"/>
    <n v="38"/>
    <n v="16"/>
    <n v="8"/>
    <n v="8"/>
    <n v="11"/>
    <n v="0.4"/>
    <n v="0.69"/>
    <n v="11"/>
    <s v="2016-11-07"/>
    <x v="15"/>
    <x v="6"/>
    <s v="Moderate"/>
  </r>
  <r>
    <s v="2016-11-07 07"/>
    <n v="33"/>
    <n v="11"/>
    <n v="3"/>
    <n v="8"/>
    <n v="8"/>
    <n v="0.3"/>
    <n v="0.82"/>
    <n v="9"/>
    <s v="2016-11-07"/>
    <x v="16"/>
    <x v="6"/>
    <s v="Peak"/>
  </r>
  <r>
    <s v="2016-11-07 06"/>
    <n v="23"/>
    <n v="9"/>
    <n v="1"/>
    <n v="8"/>
    <n v="4"/>
    <n v="0.4"/>
    <n v="0.22"/>
    <n v="2"/>
    <s v="2016-11-07"/>
    <x v="17"/>
    <x v="6"/>
    <s v="Off-Peak"/>
  </r>
  <r>
    <s v="2016-11-07 05"/>
    <n v="16"/>
    <n v="9"/>
    <n v="0"/>
    <n v="9"/>
    <n v="3"/>
    <n v="0.6"/>
    <n v="0"/>
    <n v="0"/>
    <s v="2016-11-07"/>
    <x v="18"/>
    <x v="6"/>
    <s v="Off-Peak"/>
  </r>
  <r>
    <s v="2016-11-07 04"/>
    <n v="19"/>
    <n v="7"/>
    <n v="0"/>
    <n v="6"/>
    <n v="4"/>
    <n v="0.4"/>
    <n v="0.14000000000000001"/>
    <n v="1"/>
    <s v="2016-11-07"/>
    <x v="19"/>
    <x v="6"/>
    <s v="Off-Peak"/>
  </r>
  <r>
    <s v="2016-11-07 03"/>
    <n v="16"/>
    <n v="5"/>
    <n v="0"/>
    <n v="5"/>
    <n v="3"/>
    <n v="0.3"/>
    <n v="0"/>
    <n v="0"/>
    <s v="2016-11-07"/>
    <x v="20"/>
    <x v="6"/>
    <s v="Off-Peak"/>
  </r>
  <r>
    <s v="2016-11-07 02"/>
    <n v="18"/>
    <n v="7"/>
    <n v="0"/>
    <n v="7"/>
    <n v="4"/>
    <n v="0.4"/>
    <n v="0.14000000000000001"/>
    <n v="1"/>
    <s v="2016-11-07"/>
    <x v="21"/>
    <x v="6"/>
    <s v="Off-Peak"/>
  </r>
  <r>
    <s v="2016-11-07 01"/>
    <n v="29"/>
    <n v="13"/>
    <n v="0"/>
    <n v="13"/>
    <n v="5"/>
    <n v="0.4"/>
    <n v="0"/>
    <n v="0"/>
    <s v="2016-11-07"/>
    <x v="22"/>
    <x v="6"/>
    <s v="Off-Peak"/>
  </r>
  <r>
    <s v="2016-11-07 00"/>
    <n v="42"/>
    <n v="17"/>
    <n v="4"/>
    <n v="14"/>
    <n v="8"/>
    <n v="0.4"/>
    <n v="0.35"/>
    <n v="6"/>
    <s v="2016-11-07"/>
    <x v="23"/>
    <x v="6"/>
    <s v="Pea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s v="2016-11-13 23"/>
    <n v="2"/>
    <n v="34"/>
    <x v="0"/>
    <x v="0"/>
    <x v="0"/>
    <x v="0"/>
    <n v="3196"/>
  </r>
  <r>
    <s v="2016-11-13 22"/>
    <n v="7"/>
    <n v="47"/>
    <x v="1"/>
    <x v="0"/>
    <x v="1"/>
    <x v="0"/>
    <n v="4089"/>
  </r>
  <r>
    <s v="2016-11-13 21"/>
    <n v="14"/>
    <n v="44"/>
    <x v="2"/>
    <x v="0"/>
    <x v="2"/>
    <x v="0"/>
    <n v="3344"/>
  </r>
  <r>
    <s v="2016-11-13 20"/>
    <n v="5"/>
    <n v="40"/>
    <x v="3"/>
    <x v="0"/>
    <x v="3"/>
    <x v="0"/>
    <n v="3560"/>
  </r>
  <r>
    <s v="2016-11-13 19"/>
    <n v="7"/>
    <n v="37"/>
    <x v="4"/>
    <x v="0"/>
    <x v="4"/>
    <x v="0"/>
    <n v="3108"/>
  </r>
  <r>
    <s v="2016-11-13 18"/>
    <n v="8"/>
    <n v="44"/>
    <x v="5"/>
    <x v="0"/>
    <x v="5"/>
    <x v="0"/>
    <n v="3740"/>
  </r>
  <r>
    <s v="2016-11-13 17"/>
    <n v="13"/>
    <n v="27"/>
    <x v="6"/>
    <x v="0"/>
    <x v="6"/>
    <x v="0"/>
    <n v="1836"/>
  </r>
  <r>
    <s v="2016-11-13 16"/>
    <n v="9"/>
    <n v="39"/>
    <x v="7"/>
    <x v="0"/>
    <x v="7"/>
    <x v="0"/>
    <n v="3159"/>
  </r>
  <r>
    <s v="2016-11-13 15"/>
    <n v="7"/>
    <n v="31"/>
    <x v="8"/>
    <x v="0"/>
    <x v="8"/>
    <x v="0"/>
    <n v="2542"/>
  </r>
  <r>
    <s v="2016-11-13 14"/>
    <n v="14"/>
    <n v="31"/>
    <x v="9"/>
    <x v="0"/>
    <x v="9"/>
    <x v="0"/>
    <n v="2139"/>
  </r>
  <r>
    <s v="2016-11-13 13"/>
    <n v="14"/>
    <n v="33"/>
    <x v="10"/>
    <x v="0"/>
    <x v="10"/>
    <x v="0"/>
    <n v="2310"/>
  </r>
  <r>
    <s v="2016-11-13 12"/>
    <n v="10"/>
    <n v="25"/>
    <x v="11"/>
    <x v="0"/>
    <x v="11"/>
    <x v="0"/>
    <n v="1775"/>
  </r>
  <r>
    <s v="2016-11-13 11"/>
    <n v="5"/>
    <n v="28"/>
    <x v="5"/>
    <x v="0"/>
    <x v="12"/>
    <x v="0"/>
    <n v="2380"/>
  </r>
  <r>
    <s v="2016-11-13 10"/>
    <n v="16"/>
    <n v="19"/>
    <x v="12"/>
    <x v="0"/>
    <x v="13"/>
    <x v="0"/>
    <n v="1026"/>
  </r>
  <r>
    <s v="2016-11-13 09"/>
    <n v="13"/>
    <n v="19"/>
    <x v="13"/>
    <x v="0"/>
    <x v="14"/>
    <x v="0"/>
    <n v="1121"/>
  </r>
  <r>
    <s v="2016-11-13 08"/>
    <n v="4"/>
    <n v="15"/>
    <x v="14"/>
    <x v="0"/>
    <x v="15"/>
    <x v="0"/>
    <n v="1185"/>
  </r>
  <r>
    <s v="2016-11-13 07"/>
    <n v="5"/>
    <n v="12"/>
    <x v="11"/>
    <x v="0"/>
    <x v="16"/>
    <x v="0"/>
    <n v="852"/>
  </r>
  <r>
    <s v="2016-11-13 06"/>
    <n v="3"/>
    <n v="12"/>
    <x v="15"/>
    <x v="0"/>
    <x v="17"/>
    <x v="0"/>
    <n v="960"/>
  </r>
  <r>
    <s v="2016-11-13 05"/>
    <n v="4"/>
    <n v="22"/>
    <x v="5"/>
    <x v="0"/>
    <x v="18"/>
    <x v="0"/>
    <n v="1870"/>
  </r>
  <r>
    <s v="2016-11-13 04"/>
    <n v="28"/>
    <n v="23"/>
    <x v="16"/>
    <x v="0"/>
    <x v="19"/>
    <x v="0"/>
    <n v="1035"/>
  </r>
  <r>
    <s v="2016-11-13 03"/>
    <n v="19"/>
    <n v="38"/>
    <x v="17"/>
    <x v="0"/>
    <x v="20"/>
    <x v="0"/>
    <n v="2546"/>
  </r>
  <r>
    <s v="2016-11-13 02"/>
    <n v="13"/>
    <n v="48"/>
    <x v="14"/>
    <x v="0"/>
    <x v="21"/>
    <x v="0"/>
    <n v="3792"/>
  </r>
  <r>
    <s v="2016-11-13 01"/>
    <n v="7"/>
    <n v="37"/>
    <x v="4"/>
    <x v="0"/>
    <x v="22"/>
    <x v="0"/>
    <n v="3108"/>
  </r>
  <r>
    <s v="2016-11-13 00"/>
    <n v="18"/>
    <n v="66"/>
    <x v="14"/>
    <x v="0"/>
    <x v="23"/>
    <x v="0"/>
    <n v="5214"/>
  </r>
  <r>
    <s v="2016-11-12 23"/>
    <n v="29"/>
    <n v="81"/>
    <x v="18"/>
    <x v="1"/>
    <x v="0"/>
    <x v="1"/>
    <n v="5994"/>
  </r>
  <r>
    <s v="2016-11-12 22"/>
    <n v="14"/>
    <n v="58"/>
    <x v="7"/>
    <x v="1"/>
    <x v="1"/>
    <x v="1"/>
    <n v="4698"/>
  </r>
  <r>
    <s v="2016-11-12 21"/>
    <n v="5"/>
    <n v="48"/>
    <x v="19"/>
    <x v="1"/>
    <x v="2"/>
    <x v="1"/>
    <n v="4368"/>
  </r>
  <r>
    <s v="2016-11-12 20"/>
    <n v="9"/>
    <n v="34"/>
    <x v="14"/>
    <x v="1"/>
    <x v="3"/>
    <x v="1"/>
    <n v="2686"/>
  </r>
  <r>
    <s v="2016-11-12 19"/>
    <n v="11"/>
    <n v="36"/>
    <x v="20"/>
    <x v="1"/>
    <x v="4"/>
    <x v="1"/>
    <n v="2772"/>
  </r>
  <r>
    <s v="2016-11-12 18"/>
    <n v="11"/>
    <n v="44"/>
    <x v="15"/>
    <x v="1"/>
    <x v="5"/>
    <x v="1"/>
    <n v="3520"/>
  </r>
  <r>
    <s v="2016-11-12 17"/>
    <n v="9"/>
    <n v="42"/>
    <x v="8"/>
    <x v="1"/>
    <x v="6"/>
    <x v="1"/>
    <n v="3444"/>
  </r>
  <r>
    <s v="2016-11-12 16"/>
    <n v="10"/>
    <n v="31"/>
    <x v="2"/>
    <x v="1"/>
    <x v="7"/>
    <x v="1"/>
    <n v="2356"/>
  </r>
  <r>
    <s v="2016-11-12 15"/>
    <n v="2"/>
    <n v="29"/>
    <x v="0"/>
    <x v="1"/>
    <x v="8"/>
    <x v="1"/>
    <n v="2726"/>
  </r>
  <r>
    <s v="2016-11-12 14"/>
    <n v="7"/>
    <n v="31"/>
    <x v="8"/>
    <x v="1"/>
    <x v="9"/>
    <x v="1"/>
    <n v="2542"/>
  </r>
  <r>
    <s v="2016-11-12 13"/>
    <n v="16"/>
    <n v="31"/>
    <x v="21"/>
    <x v="1"/>
    <x v="10"/>
    <x v="1"/>
    <n v="2046"/>
  </r>
  <r>
    <s v="2016-11-12 12"/>
    <n v="21"/>
    <n v="23"/>
    <x v="22"/>
    <x v="1"/>
    <x v="11"/>
    <x v="1"/>
    <n v="1196"/>
  </r>
  <r>
    <s v="2016-11-12 11"/>
    <n v="18"/>
    <n v="19"/>
    <x v="23"/>
    <x v="1"/>
    <x v="12"/>
    <x v="1"/>
    <n v="969"/>
  </r>
  <r>
    <s v="2016-11-12 10"/>
    <n v="12"/>
    <n v="23"/>
    <x v="21"/>
    <x v="1"/>
    <x v="13"/>
    <x v="1"/>
    <n v="1518"/>
  </r>
  <r>
    <s v="2016-11-12 09"/>
    <n v="5"/>
    <n v="19"/>
    <x v="14"/>
    <x v="1"/>
    <x v="14"/>
    <x v="1"/>
    <n v="1501"/>
  </r>
  <r>
    <s v="2016-11-12 08"/>
    <n v="12"/>
    <n v="17"/>
    <x v="13"/>
    <x v="1"/>
    <x v="15"/>
    <x v="1"/>
    <n v="1003"/>
  </r>
  <r>
    <s v="2016-11-12 07"/>
    <n v="4"/>
    <n v="14"/>
    <x v="24"/>
    <x v="1"/>
    <x v="16"/>
    <x v="1"/>
    <n v="1092"/>
  </r>
  <r>
    <s v="2016-11-12 06"/>
    <n v="2"/>
    <n v="10"/>
    <x v="25"/>
    <x v="1"/>
    <x v="17"/>
    <x v="1"/>
    <n v="830"/>
  </r>
  <r>
    <s v="2016-11-12 05"/>
    <n v="6"/>
    <n v="20"/>
    <x v="20"/>
    <x v="1"/>
    <x v="18"/>
    <x v="1"/>
    <n v="1540"/>
  </r>
  <r>
    <s v="2016-11-12 04"/>
    <n v="14"/>
    <n v="17"/>
    <x v="26"/>
    <x v="1"/>
    <x v="19"/>
    <x v="1"/>
    <n v="935"/>
  </r>
  <r>
    <s v="2016-11-12 03"/>
    <n v="12"/>
    <n v="28"/>
    <x v="10"/>
    <x v="1"/>
    <x v="20"/>
    <x v="1"/>
    <n v="1960"/>
  </r>
  <r>
    <s v="2016-11-12 02"/>
    <n v="2"/>
    <n v="31"/>
    <x v="0"/>
    <x v="1"/>
    <x v="21"/>
    <x v="1"/>
    <n v="2914"/>
  </r>
  <r>
    <s v="2016-11-12 01"/>
    <n v="6"/>
    <n v="55"/>
    <x v="27"/>
    <x v="1"/>
    <x v="22"/>
    <x v="1"/>
    <n v="4950"/>
  </r>
  <r>
    <s v="2016-11-12 00"/>
    <n v="70"/>
    <n v="94"/>
    <x v="28"/>
    <x v="1"/>
    <x v="23"/>
    <x v="1"/>
    <n v="5358"/>
  </r>
  <r>
    <s v="2016-11-11 23"/>
    <n v="33"/>
    <n v="85"/>
    <x v="29"/>
    <x v="2"/>
    <x v="0"/>
    <x v="2"/>
    <n v="6120"/>
  </r>
  <r>
    <s v="2016-11-11 22"/>
    <n v="6"/>
    <n v="47"/>
    <x v="3"/>
    <x v="2"/>
    <x v="1"/>
    <x v="2"/>
    <n v="4183"/>
  </r>
  <r>
    <s v="2016-11-11 21"/>
    <n v="17"/>
    <n v="52"/>
    <x v="30"/>
    <x v="2"/>
    <x v="2"/>
    <x v="2"/>
    <n v="3900"/>
  </r>
  <r>
    <s v="2016-11-11 20"/>
    <n v="48"/>
    <n v="66"/>
    <x v="31"/>
    <x v="2"/>
    <x v="3"/>
    <x v="2"/>
    <n v="3828"/>
  </r>
  <r>
    <s v="2016-11-11 19"/>
    <n v="47"/>
    <n v="85"/>
    <x v="32"/>
    <x v="2"/>
    <x v="4"/>
    <x v="2"/>
    <n v="5440"/>
  </r>
  <r>
    <s v="2016-11-11 18"/>
    <n v="71"/>
    <n v="57"/>
    <x v="16"/>
    <x v="2"/>
    <x v="5"/>
    <x v="2"/>
    <n v="2565"/>
  </r>
  <r>
    <s v="2016-11-11 17"/>
    <n v="32"/>
    <n v="52"/>
    <x v="33"/>
    <x v="2"/>
    <x v="6"/>
    <x v="2"/>
    <n v="3224"/>
  </r>
  <r>
    <s v="2016-11-11 16"/>
    <n v="27"/>
    <n v="46"/>
    <x v="34"/>
    <x v="2"/>
    <x v="7"/>
    <x v="2"/>
    <n v="2898"/>
  </r>
  <r>
    <s v="2016-11-11 15"/>
    <n v="7"/>
    <n v="32"/>
    <x v="8"/>
    <x v="2"/>
    <x v="8"/>
    <x v="2"/>
    <n v="2624"/>
  </r>
  <r>
    <s v="2016-11-11 14"/>
    <n v="11"/>
    <n v="39"/>
    <x v="24"/>
    <x v="2"/>
    <x v="9"/>
    <x v="2"/>
    <n v="3042"/>
  </r>
  <r>
    <s v="2016-11-11 13"/>
    <n v="9"/>
    <n v="34"/>
    <x v="14"/>
    <x v="2"/>
    <x v="10"/>
    <x v="2"/>
    <n v="2686"/>
  </r>
  <r>
    <s v="2016-11-11 12"/>
    <n v="12"/>
    <n v="32"/>
    <x v="35"/>
    <x v="2"/>
    <x v="11"/>
    <x v="2"/>
    <n v="2336"/>
  </r>
  <r>
    <s v="2016-11-11 11"/>
    <n v="13"/>
    <n v="50"/>
    <x v="14"/>
    <x v="2"/>
    <x v="12"/>
    <x v="2"/>
    <n v="3950"/>
  </r>
  <r>
    <s v="2016-11-11 10"/>
    <n v="27"/>
    <n v="55"/>
    <x v="17"/>
    <x v="2"/>
    <x v="13"/>
    <x v="2"/>
    <n v="3685"/>
  </r>
  <r>
    <s v="2016-11-11 09"/>
    <n v="29"/>
    <n v="59"/>
    <x v="17"/>
    <x v="2"/>
    <x v="14"/>
    <x v="2"/>
    <n v="3953"/>
  </r>
  <r>
    <s v="2016-11-11 08"/>
    <n v="27"/>
    <n v="50"/>
    <x v="36"/>
    <x v="2"/>
    <x v="15"/>
    <x v="2"/>
    <n v="3250"/>
  </r>
  <r>
    <s v="2016-11-11 07"/>
    <n v="15"/>
    <n v="18"/>
    <x v="26"/>
    <x v="2"/>
    <x v="16"/>
    <x v="2"/>
    <n v="990"/>
  </r>
  <r>
    <s v="2016-11-11 06"/>
    <n v="4"/>
    <n v="6"/>
    <x v="37"/>
    <x v="2"/>
    <x v="17"/>
    <x v="2"/>
    <n v="360"/>
  </r>
  <r>
    <s v="2016-11-11 05"/>
    <n v="1"/>
    <n v="5"/>
    <x v="25"/>
    <x v="2"/>
    <x v="18"/>
    <x v="2"/>
    <n v="415"/>
  </r>
  <r>
    <s v="2016-11-11 04"/>
    <n v="4"/>
    <n v="1"/>
    <x v="38"/>
    <x v="2"/>
    <x v="19"/>
    <x v="2"/>
    <n v="20"/>
  </r>
  <r>
    <s v="2016-11-11 03"/>
    <n v="2"/>
    <n v="4"/>
    <x v="17"/>
    <x v="2"/>
    <x v="20"/>
    <x v="2"/>
    <n v="268"/>
  </r>
  <r>
    <s v="2016-11-11 02"/>
    <n v="1"/>
    <n v="11"/>
    <x v="39"/>
    <x v="2"/>
    <x v="21"/>
    <x v="2"/>
    <n v="1012"/>
  </r>
  <r>
    <s v="2016-11-11 01"/>
    <n v="5"/>
    <n v="15"/>
    <x v="30"/>
    <x v="2"/>
    <x v="22"/>
    <x v="2"/>
    <n v="1125"/>
  </r>
  <r>
    <s v="2016-11-11 00"/>
    <n v="8"/>
    <n v="26"/>
    <x v="2"/>
    <x v="2"/>
    <x v="23"/>
    <x v="2"/>
    <n v="1976"/>
  </r>
  <r>
    <s v="2016-11-10 23"/>
    <n v="10"/>
    <n v="36"/>
    <x v="24"/>
    <x v="3"/>
    <x v="0"/>
    <x v="3"/>
    <n v="2808"/>
  </r>
  <r>
    <s v="2016-11-10 22"/>
    <n v="7"/>
    <n v="40"/>
    <x v="5"/>
    <x v="3"/>
    <x v="1"/>
    <x v="3"/>
    <n v="3400"/>
  </r>
  <r>
    <s v="2016-11-10 21"/>
    <n v="2"/>
    <n v="34"/>
    <x v="0"/>
    <x v="3"/>
    <x v="2"/>
    <x v="3"/>
    <n v="3196"/>
  </r>
  <r>
    <s v="2016-11-10 20"/>
    <n v="6"/>
    <n v="47"/>
    <x v="3"/>
    <x v="3"/>
    <x v="3"/>
    <x v="3"/>
    <n v="4183"/>
  </r>
  <r>
    <s v="2016-11-10 19"/>
    <n v="9"/>
    <n v="47"/>
    <x v="4"/>
    <x v="3"/>
    <x v="4"/>
    <x v="3"/>
    <n v="3948"/>
  </r>
  <r>
    <s v="2016-11-10 18"/>
    <n v="7"/>
    <n v="67"/>
    <x v="19"/>
    <x v="3"/>
    <x v="5"/>
    <x v="3"/>
    <n v="6097"/>
  </r>
  <r>
    <s v="2016-11-10 17"/>
    <n v="11"/>
    <n v="57"/>
    <x v="4"/>
    <x v="3"/>
    <x v="6"/>
    <x v="3"/>
    <n v="4788"/>
  </r>
  <r>
    <s v="2016-11-10 16"/>
    <n v="5"/>
    <n v="27"/>
    <x v="4"/>
    <x v="3"/>
    <x v="7"/>
    <x v="3"/>
    <n v="2268"/>
  </r>
  <r>
    <s v="2016-11-10 15"/>
    <n v="6"/>
    <n v="20"/>
    <x v="20"/>
    <x v="3"/>
    <x v="8"/>
    <x v="3"/>
    <n v="1540"/>
  </r>
  <r>
    <s v="2016-11-10 14"/>
    <n v="2"/>
    <n v="14"/>
    <x v="40"/>
    <x v="3"/>
    <x v="9"/>
    <x v="3"/>
    <n v="1232"/>
  </r>
  <r>
    <s v="2016-11-10 13"/>
    <n v="4"/>
    <n v="33"/>
    <x v="3"/>
    <x v="3"/>
    <x v="10"/>
    <x v="3"/>
    <n v="2937"/>
  </r>
  <r>
    <s v="2016-11-10 12"/>
    <n v="4"/>
    <n v="23"/>
    <x v="5"/>
    <x v="3"/>
    <x v="11"/>
    <x v="3"/>
    <n v="1955"/>
  </r>
  <r>
    <s v="2016-11-10 11"/>
    <n v="3"/>
    <n v="24"/>
    <x v="3"/>
    <x v="3"/>
    <x v="12"/>
    <x v="3"/>
    <n v="2136"/>
  </r>
  <r>
    <s v="2016-11-10 10"/>
    <n v="8"/>
    <n v="30"/>
    <x v="14"/>
    <x v="3"/>
    <x v="13"/>
    <x v="3"/>
    <n v="2370"/>
  </r>
  <r>
    <s v="2016-11-10 09"/>
    <n v="40"/>
    <n v="53"/>
    <x v="28"/>
    <x v="3"/>
    <x v="14"/>
    <x v="3"/>
    <n v="3021"/>
  </r>
  <r>
    <s v="2016-11-10 08"/>
    <n v="33"/>
    <n v="42"/>
    <x v="41"/>
    <x v="3"/>
    <x v="15"/>
    <x v="3"/>
    <n v="2352"/>
  </r>
  <r>
    <s v="2016-11-10 07"/>
    <n v="16"/>
    <n v="17"/>
    <x v="22"/>
    <x v="3"/>
    <x v="16"/>
    <x v="3"/>
    <n v="884"/>
  </r>
  <r>
    <s v="2016-11-10 06"/>
    <n v="3"/>
    <n v="4"/>
    <x v="28"/>
    <x v="3"/>
    <x v="17"/>
    <x v="3"/>
    <n v="228"/>
  </r>
  <r>
    <s v="2016-11-10 05"/>
    <n v="2"/>
    <n v="3"/>
    <x v="37"/>
    <x v="3"/>
    <x v="18"/>
    <x v="3"/>
    <n v="180"/>
  </r>
  <r>
    <s v="2016-11-10 04"/>
    <n v="2"/>
    <n v="2"/>
    <x v="42"/>
    <x v="3"/>
    <x v="19"/>
    <x v="3"/>
    <n v="100"/>
  </r>
  <r>
    <s v="2016-11-10 03"/>
    <n v="0"/>
    <n v="1"/>
    <x v="43"/>
    <x v="3"/>
    <x v="20"/>
    <x v="3"/>
    <n v="100"/>
  </r>
  <r>
    <s v="2016-11-10 02"/>
    <n v="2"/>
    <n v="3"/>
    <x v="37"/>
    <x v="3"/>
    <x v="21"/>
    <x v="3"/>
    <n v="180"/>
  </r>
  <r>
    <s v="2016-11-10 01"/>
    <n v="6"/>
    <n v="16"/>
    <x v="35"/>
    <x v="3"/>
    <x v="22"/>
    <x v="3"/>
    <n v="1168"/>
  </r>
  <r>
    <s v="2016-11-10 00"/>
    <n v="6"/>
    <n v="25"/>
    <x v="7"/>
    <x v="3"/>
    <x v="23"/>
    <x v="3"/>
    <n v="2025"/>
  </r>
  <r>
    <s v="2016-11-09 23"/>
    <n v="14"/>
    <n v="47"/>
    <x v="20"/>
    <x v="4"/>
    <x v="0"/>
    <x v="4"/>
    <n v="3619"/>
  </r>
  <r>
    <s v="2016-11-09 22"/>
    <n v="2"/>
    <n v="36"/>
    <x v="44"/>
    <x v="4"/>
    <x v="1"/>
    <x v="4"/>
    <n v="3420"/>
  </r>
  <r>
    <s v="2016-11-09 21"/>
    <n v="3"/>
    <n v="40"/>
    <x v="45"/>
    <x v="4"/>
    <x v="2"/>
    <x v="4"/>
    <n v="3720"/>
  </r>
  <r>
    <s v="2016-11-09 20"/>
    <n v="3"/>
    <n v="51"/>
    <x v="0"/>
    <x v="4"/>
    <x v="3"/>
    <x v="4"/>
    <n v="4794"/>
  </r>
  <r>
    <s v="2016-11-09 19"/>
    <n v="12"/>
    <n v="63"/>
    <x v="4"/>
    <x v="4"/>
    <x v="4"/>
    <x v="4"/>
    <n v="5292"/>
  </r>
  <r>
    <s v="2016-11-09 18"/>
    <n v="15"/>
    <n v="66"/>
    <x v="7"/>
    <x v="4"/>
    <x v="5"/>
    <x v="4"/>
    <n v="5346"/>
  </r>
  <r>
    <s v="2016-11-09 17"/>
    <n v="4"/>
    <n v="45"/>
    <x v="39"/>
    <x v="4"/>
    <x v="6"/>
    <x v="4"/>
    <n v="4140"/>
  </r>
  <r>
    <s v="2016-11-09 16"/>
    <n v="9"/>
    <n v="44"/>
    <x v="25"/>
    <x v="4"/>
    <x v="7"/>
    <x v="4"/>
    <n v="3652"/>
  </r>
  <r>
    <s v="2016-11-09 15"/>
    <n v="5"/>
    <n v="26"/>
    <x v="4"/>
    <x v="4"/>
    <x v="8"/>
    <x v="4"/>
    <n v="2184"/>
  </r>
  <r>
    <s v="2016-11-09 14"/>
    <n v="2"/>
    <n v="23"/>
    <x v="39"/>
    <x v="4"/>
    <x v="9"/>
    <x v="4"/>
    <n v="2116"/>
  </r>
  <r>
    <s v="2016-11-09 13"/>
    <n v="4"/>
    <n v="27"/>
    <x v="1"/>
    <x v="4"/>
    <x v="10"/>
    <x v="4"/>
    <n v="2349"/>
  </r>
  <r>
    <s v="2016-11-09 12"/>
    <n v="11"/>
    <n v="27"/>
    <x v="11"/>
    <x v="4"/>
    <x v="11"/>
    <x v="4"/>
    <n v="1917"/>
  </r>
  <r>
    <s v="2016-11-09 11"/>
    <n v="8"/>
    <n v="33"/>
    <x v="15"/>
    <x v="4"/>
    <x v="12"/>
    <x v="4"/>
    <n v="2640"/>
  </r>
  <r>
    <s v="2016-11-09 10"/>
    <n v="18"/>
    <n v="37"/>
    <x v="17"/>
    <x v="4"/>
    <x v="13"/>
    <x v="4"/>
    <n v="2479"/>
  </r>
  <r>
    <s v="2016-11-09 09"/>
    <n v="45"/>
    <n v="47"/>
    <x v="23"/>
    <x v="4"/>
    <x v="14"/>
    <x v="4"/>
    <n v="2397"/>
  </r>
  <r>
    <s v="2016-11-09 08"/>
    <n v="59"/>
    <n v="38"/>
    <x v="46"/>
    <x v="4"/>
    <x v="15"/>
    <x v="4"/>
    <n v="1482"/>
  </r>
  <r>
    <s v="2016-11-09 07"/>
    <n v="16"/>
    <n v="18"/>
    <x v="47"/>
    <x v="4"/>
    <x v="16"/>
    <x v="4"/>
    <n v="954"/>
  </r>
  <r>
    <s v="2016-11-09 06"/>
    <n v="9"/>
    <n v="2"/>
    <x v="48"/>
    <x v="4"/>
    <x v="17"/>
    <x v="4"/>
    <n v="36"/>
  </r>
  <r>
    <s v="2016-11-09 05"/>
    <n v="2"/>
    <n v="2"/>
    <x v="42"/>
    <x v="4"/>
    <x v="18"/>
    <x v="4"/>
    <n v="100"/>
  </r>
  <r>
    <s v="2016-11-09 04"/>
    <n v="4"/>
    <n v="3"/>
    <x v="49"/>
    <x v="4"/>
    <x v="19"/>
    <x v="4"/>
    <n v="129"/>
  </r>
  <r>
    <s v="2016-11-09 03"/>
    <n v="4"/>
    <n v="5"/>
    <x v="41"/>
    <x v="4"/>
    <x v="20"/>
    <x v="4"/>
    <n v="280"/>
  </r>
  <r>
    <s v="2016-11-09 02"/>
    <n v="1"/>
    <n v="4"/>
    <x v="15"/>
    <x v="4"/>
    <x v="21"/>
    <x v="4"/>
    <n v="320"/>
  </r>
  <r>
    <s v="2016-11-09 01"/>
    <n v="5"/>
    <n v="18"/>
    <x v="24"/>
    <x v="4"/>
    <x v="22"/>
    <x v="4"/>
    <n v="1404"/>
  </r>
  <r>
    <s v="2016-11-09 00"/>
    <n v="3"/>
    <n v="29"/>
    <x v="19"/>
    <x v="4"/>
    <x v="23"/>
    <x v="4"/>
    <n v="2639"/>
  </r>
  <r>
    <s v="2016-11-08 23"/>
    <n v="16"/>
    <n v="39"/>
    <x v="11"/>
    <x v="5"/>
    <x v="0"/>
    <x v="5"/>
    <n v="2769"/>
  </r>
  <r>
    <s v="2016-11-08 22"/>
    <n v="12"/>
    <n v="36"/>
    <x v="30"/>
    <x v="5"/>
    <x v="1"/>
    <x v="5"/>
    <n v="2700"/>
  </r>
  <r>
    <s v="2016-11-08 21"/>
    <n v="8"/>
    <n v="36"/>
    <x v="8"/>
    <x v="5"/>
    <x v="2"/>
    <x v="5"/>
    <n v="2952"/>
  </r>
  <r>
    <s v="2016-11-08 20"/>
    <n v="16"/>
    <n v="62"/>
    <x v="14"/>
    <x v="5"/>
    <x v="3"/>
    <x v="5"/>
    <n v="4898"/>
  </r>
  <r>
    <s v="2016-11-08 19"/>
    <n v="12"/>
    <n v="66"/>
    <x v="5"/>
    <x v="5"/>
    <x v="4"/>
    <x v="5"/>
    <n v="5610"/>
  </r>
  <r>
    <s v="2016-11-08 18"/>
    <n v="42"/>
    <n v="52"/>
    <x v="26"/>
    <x v="5"/>
    <x v="5"/>
    <x v="5"/>
    <n v="2860"/>
  </r>
  <r>
    <s v="2016-11-08 17"/>
    <n v="13"/>
    <n v="52"/>
    <x v="15"/>
    <x v="5"/>
    <x v="6"/>
    <x v="5"/>
    <n v="4160"/>
  </r>
  <r>
    <s v="2016-11-08 16"/>
    <n v="2"/>
    <n v="23"/>
    <x v="39"/>
    <x v="5"/>
    <x v="7"/>
    <x v="5"/>
    <n v="2116"/>
  </r>
  <r>
    <s v="2016-11-08 15"/>
    <n v="1"/>
    <n v="21"/>
    <x v="44"/>
    <x v="5"/>
    <x v="8"/>
    <x v="5"/>
    <n v="1995"/>
  </r>
  <r>
    <s v="2016-11-08 14"/>
    <n v="5"/>
    <n v="26"/>
    <x v="4"/>
    <x v="5"/>
    <x v="9"/>
    <x v="5"/>
    <n v="2184"/>
  </r>
  <r>
    <s v="2016-11-08 13"/>
    <n v="3"/>
    <n v="30"/>
    <x v="19"/>
    <x v="5"/>
    <x v="10"/>
    <x v="5"/>
    <n v="2730"/>
  </r>
  <r>
    <s v="2016-11-08 12"/>
    <n v="3"/>
    <n v="21"/>
    <x v="40"/>
    <x v="5"/>
    <x v="11"/>
    <x v="5"/>
    <n v="1848"/>
  </r>
  <r>
    <s v="2016-11-08 11"/>
    <n v="5"/>
    <n v="31"/>
    <x v="50"/>
    <x v="5"/>
    <x v="12"/>
    <x v="5"/>
    <n v="2666"/>
  </r>
  <r>
    <s v="2016-11-08 10"/>
    <n v="10"/>
    <n v="31"/>
    <x v="2"/>
    <x v="5"/>
    <x v="13"/>
    <x v="5"/>
    <n v="2356"/>
  </r>
  <r>
    <s v="2016-11-08 09"/>
    <n v="16"/>
    <n v="50"/>
    <x v="2"/>
    <x v="5"/>
    <x v="14"/>
    <x v="5"/>
    <n v="3800"/>
  </r>
  <r>
    <s v="2016-11-08 08"/>
    <n v="23"/>
    <n v="48"/>
    <x v="6"/>
    <x v="5"/>
    <x v="15"/>
    <x v="5"/>
    <n v="3264"/>
  </r>
  <r>
    <s v="2016-11-08 07"/>
    <n v="12"/>
    <n v="27"/>
    <x v="9"/>
    <x v="5"/>
    <x v="16"/>
    <x v="5"/>
    <n v="1863"/>
  </r>
  <r>
    <s v="2016-11-08 06"/>
    <n v="4"/>
    <n v="11"/>
    <x v="35"/>
    <x v="5"/>
    <x v="17"/>
    <x v="5"/>
    <n v="803"/>
  </r>
  <r>
    <s v="2016-11-08 05"/>
    <n v="0"/>
    <n v="2"/>
    <x v="43"/>
    <x v="5"/>
    <x v="18"/>
    <x v="5"/>
    <n v="200"/>
  </r>
  <r>
    <s v="2016-11-08 04"/>
    <n v="3"/>
    <n v="4"/>
    <x v="28"/>
    <x v="5"/>
    <x v="19"/>
    <x v="5"/>
    <n v="228"/>
  </r>
  <r>
    <s v="2016-11-08 03"/>
    <n v="5"/>
    <n v="4"/>
    <x v="51"/>
    <x v="5"/>
    <x v="20"/>
    <x v="5"/>
    <n v="176"/>
  </r>
  <r>
    <s v="2016-11-08 02"/>
    <n v="4"/>
    <n v="5"/>
    <x v="41"/>
    <x v="5"/>
    <x v="21"/>
    <x v="5"/>
    <n v="280"/>
  </r>
  <r>
    <s v="2016-11-08 01"/>
    <n v="1"/>
    <n v="5"/>
    <x v="25"/>
    <x v="5"/>
    <x v="22"/>
    <x v="5"/>
    <n v="415"/>
  </r>
  <r>
    <s v="2016-11-08 00"/>
    <n v="1"/>
    <n v="15"/>
    <x v="0"/>
    <x v="5"/>
    <x v="23"/>
    <x v="5"/>
    <n v="1410"/>
  </r>
  <r>
    <s v="2016-11-07 23"/>
    <n v="9"/>
    <n v="27"/>
    <x v="30"/>
    <x v="6"/>
    <x v="0"/>
    <x v="6"/>
    <n v="2025"/>
  </r>
  <r>
    <s v="2016-11-07 22"/>
    <n v="4"/>
    <n v="27"/>
    <x v="1"/>
    <x v="6"/>
    <x v="1"/>
    <x v="6"/>
    <n v="2349"/>
  </r>
  <r>
    <s v="2016-11-07 21"/>
    <n v="7"/>
    <n v="40"/>
    <x v="5"/>
    <x v="6"/>
    <x v="2"/>
    <x v="6"/>
    <n v="3400"/>
  </r>
  <r>
    <s v="2016-11-07 20"/>
    <n v="4"/>
    <n v="27"/>
    <x v="1"/>
    <x v="6"/>
    <x v="3"/>
    <x v="6"/>
    <n v="2349"/>
  </r>
  <r>
    <s v="2016-11-07 19"/>
    <n v="9"/>
    <n v="46"/>
    <x v="4"/>
    <x v="6"/>
    <x v="4"/>
    <x v="6"/>
    <n v="3864"/>
  </r>
  <r>
    <s v="2016-11-07 18"/>
    <n v="2"/>
    <n v="47"/>
    <x v="52"/>
    <x v="6"/>
    <x v="5"/>
    <x v="6"/>
    <n v="4512"/>
  </r>
  <r>
    <s v="2016-11-07 17"/>
    <n v="1"/>
    <n v="32"/>
    <x v="53"/>
    <x v="6"/>
    <x v="6"/>
    <x v="6"/>
    <n v="3104"/>
  </r>
  <r>
    <s v="2016-11-07 16"/>
    <n v="0"/>
    <n v="35"/>
    <x v="43"/>
    <x v="6"/>
    <x v="7"/>
    <x v="6"/>
    <n v="3500"/>
  </r>
  <r>
    <s v="2016-11-07 15"/>
    <n v="3"/>
    <n v="31"/>
    <x v="19"/>
    <x v="6"/>
    <x v="8"/>
    <x v="6"/>
    <n v="2821"/>
  </r>
  <r>
    <s v="2016-11-07 14"/>
    <n v="2"/>
    <n v="15"/>
    <x v="40"/>
    <x v="6"/>
    <x v="9"/>
    <x v="6"/>
    <n v="1320"/>
  </r>
  <r>
    <s v="2016-11-07 13"/>
    <n v="5"/>
    <n v="23"/>
    <x v="8"/>
    <x v="6"/>
    <x v="10"/>
    <x v="6"/>
    <n v="1886"/>
  </r>
  <r>
    <s v="2016-11-07 12"/>
    <n v="4"/>
    <n v="18"/>
    <x v="8"/>
    <x v="6"/>
    <x v="11"/>
    <x v="6"/>
    <n v="1476"/>
  </r>
  <r>
    <s v="2016-11-07 11"/>
    <n v="7"/>
    <n v="23"/>
    <x v="20"/>
    <x v="6"/>
    <x v="12"/>
    <x v="6"/>
    <n v="1771"/>
  </r>
  <r>
    <s v="2016-11-07 10"/>
    <n v="22"/>
    <n v="28"/>
    <x v="41"/>
    <x v="6"/>
    <x v="13"/>
    <x v="6"/>
    <n v="1568"/>
  </r>
  <r>
    <s v="2016-11-07 09"/>
    <n v="35"/>
    <n v="49"/>
    <x v="31"/>
    <x v="6"/>
    <x v="14"/>
    <x v="6"/>
    <n v="2842"/>
  </r>
  <r>
    <s v="2016-11-07 08"/>
    <n v="28"/>
    <n v="32"/>
    <x v="47"/>
    <x v="6"/>
    <x v="15"/>
    <x v="6"/>
    <n v="1696"/>
  </r>
  <r>
    <s v="2016-11-07 07"/>
    <n v="14"/>
    <n v="18"/>
    <x v="41"/>
    <x v="6"/>
    <x v="16"/>
    <x v="6"/>
    <n v="1008"/>
  </r>
  <r>
    <s v="2016-11-07 06"/>
    <n v="7"/>
    <n v="4"/>
    <x v="54"/>
    <x v="6"/>
    <x v="17"/>
    <x v="6"/>
    <n v="144"/>
  </r>
  <r>
    <s v="2016-11-07 05"/>
    <n v="3"/>
    <n v="3"/>
    <x v="42"/>
    <x v="6"/>
    <x v="18"/>
    <x v="6"/>
    <n v="150"/>
  </r>
  <r>
    <s v="2016-11-07 04"/>
    <n v="2"/>
    <n v="2"/>
    <x v="42"/>
    <x v="6"/>
    <x v="19"/>
    <x v="6"/>
    <n v="100"/>
  </r>
  <r>
    <s v="2016-11-07 03"/>
    <n v="2"/>
    <n v="0"/>
    <x v="55"/>
    <x v="6"/>
    <x v="20"/>
    <x v="6"/>
    <n v="0"/>
  </r>
  <r>
    <s v="2016-11-07 02"/>
    <n v="2"/>
    <n v="2"/>
    <x v="42"/>
    <x v="6"/>
    <x v="21"/>
    <x v="6"/>
    <n v="100"/>
  </r>
  <r>
    <s v="2016-11-07 01"/>
    <n v="4"/>
    <n v="13"/>
    <x v="2"/>
    <x v="6"/>
    <x v="22"/>
    <x v="6"/>
    <n v="988"/>
  </r>
  <r>
    <s v="2016-11-07 00"/>
    <n v="5"/>
    <n v="21"/>
    <x v="7"/>
    <x v="6"/>
    <x v="23"/>
    <x v="6"/>
    <n v="17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DEBBB2-BDE7-4C34-9E2B-C051FB401484}"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20:I45" firstHeaderRow="1" firstDataRow="2" firstDataCol="1"/>
  <pivotFields count="8">
    <pivotField showAll="0"/>
    <pivotField showAll="0"/>
    <pivotField showAll="0"/>
    <pivotField dataField="1" showAll="0"/>
    <pivotField showAll="0"/>
    <pivotField axis="axisRow"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8">
        <item x="0"/>
        <item x="6"/>
        <item x="5"/>
        <item x="4"/>
        <item x="3"/>
        <item x="2"/>
        <item x="1"/>
        <item t="default"/>
      </items>
    </pivotField>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6"/>
  </colFields>
  <colItems count="7">
    <i>
      <x/>
    </i>
    <i>
      <x v="1"/>
    </i>
    <i>
      <x v="2"/>
    </i>
    <i>
      <x v="3"/>
    </i>
    <i>
      <x v="4"/>
    </i>
    <i>
      <x v="5"/>
    </i>
    <i>
      <x v="6"/>
    </i>
  </colItems>
  <dataFields count="1">
    <dataField name="Sum of Coverage Ratio (unique)" fld="3" baseField="0" baseItem="0"/>
  </dataFields>
  <formats count="5">
    <format dxfId="4">
      <pivotArea type="origin" dataOnly="0" labelOnly="1" outline="0" fieldPosition="0"/>
    </format>
    <format dxfId="3">
      <pivotArea field="6" type="button" dataOnly="0" labelOnly="1" outline="0" axis="axisCol" fieldPosition="0"/>
    </format>
    <format dxfId="2">
      <pivotArea type="topRight" dataOnly="0" labelOnly="1" outline="0" fieldPosition="0"/>
    </format>
    <format dxfId="1">
      <pivotArea field="5" type="button" dataOnly="0" labelOnly="1" outline="0" axis="axisRow" fieldPosition="0"/>
    </format>
    <format dxfId="0">
      <pivotArea dataOnly="0" labelOnly="1" fieldPosition="0">
        <references count="1">
          <reference field="6" count="3">
            <x v="1"/>
            <x v="2"/>
            <x v="4"/>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ABE9E3-9EF2-4391-9A5D-538724ECF3E4}"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10:E14" firstHeaderRow="1" firstDataRow="2" firstDataCol="1" rowPageCount="1" colPageCount="1"/>
  <pivotFields count="8">
    <pivotField showAll="0"/>
    <pivotField showAll="0"/>
    <pivotField showAll="0"/>
    <pivotField axis="axisPage" dataField="1" showAll="0">
      <items count="57">
        <item x="55"/>
        <item x="48"/>
        <item x="38"/>
        <item x="54"/>
        <item x="46"/>
        <item x="49"/>
        <item x="51"/>
        <item x="16"/>
        <item x="42"/>
        <item x="23"/>
        <item x="22"/>
        <item x="47"/>
        <item x="12"/>
        <item x="26"/>
        <item x="41"/>
        <item x="28"/>
        <item x="31"/>
        <item x="13"/>
        <item x="37"/>
        <item x="33"/>
        <item x="34"/>
        <item x="32"/>
        <item x="36"/>
        <item x="21"/>
        <item x="17"/>
        <item x="6"/>
        <item x="9"/>
        <item x="10"/>
        <item x="11"/>
        <item x="29"/>
        <item x="35"/>
        <item x="18"/>
        <item x="30"/>
        <item x="2"/>
        <item x="20"/>
        <item x="24"/>
        <item x="14"/>
        <item x="15"/>
        <item x="7"/>
        <item x="8"/>
        <item x="25"/>
        <item x="4"/>
        <item x="5"/>
        <item x="50"/>
        <item x="1"/>
        <item x="40"/>
        <item x="3"/>
        <item x="27"/>
        <item x="19"/>
        <item x="39"/>
        <item x="45"/>
        <item x="0"/>
        <item x="44"/>
        <item x="52"/>
        <item x="53"/>
        <item x="43"/>
        <item t="default"/>
      </items>
    </pivotField>
    <pivotField showAll="0"/>
    <pivotField axis="axisRow"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8">
        <item x="0"/>
        <item x="6"/>
        <item x="5"/>
        <item x="4"/>
        <item x="3"/>
        <item x="2"/>
        <item x="1"/>
        <item t="default"/>
      </items>
    </pivotField>
    <pivotField showAll="0"/>
  </pivotFields>
  <rowFields count="1">
    <field x="5"/>
  </rowFields>
  <rowItems count="3">
    <i>
      <x v="3"/>
    </i>
    <i>
      <x v="5"/>
    </i>
    <i>
      <x v="16"/>
    </i>
  </rowItems>
  <colFields count="1">
    <field x="6"/>
  </colFields>
  <colItems count="3">
    <i>
      <x v="1"/>
    </i>
    <i>
      <x v="2"/>
    </i>
    <i>
      <x v="4"/>
    </i>
  </colItems>
  <pageFields count="1">
    <pageField fld="3" item="55" hier="-1"/>
  </pageFields>
  <dataFields count="1">
    <dataField name="Sum of Coverage Ratio (unique)" fld="3" baseField="0" baseItem="0"/>
  </dataFields>
  <formats count="5">
    <format dxfId="9">
      <pivotArea type="origin" dataOnly="0" labelOnly="1" outline="0" fieldPosition="0"/>
    </format>
    <format dxfId="8">
      <pivotArea field="6" type="button" dataOnly="0" labelOnly="1" outline="0" axis="axisCol" fieldPosition="0"/>
    </format>
    <format dxfId="7">
      <pivotArea type="topRight" dataOnly="0" labelOnly="1" outline="0" fieldPosition="0"/>
    </format>
    <format dxfId="6">
      <pivotArea field="5" type="button" dataOnly="0" labelOnly="1" outline="0" axis="axisRow" fieldPosition="0"/>
    </format>
    <format dxfId="5">
      <pivotArea dataOnly="0" labelOnly="1" fieldPosition="0">
        <references count="1">
          <reference field="6" count="3">
            <x v="1"/>
            <x v="2"/>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FD6671-0938-428F-BE4F-3649C1FE0782}"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location ref="B6:D13" firstHeaderRow="0" firstDataRow="1" firstDataCol="1"/>
  <pivotFields count="13">
    <pivotField showAll="0"/>
    <pivotField dataField="1" showAll="0"/>
    <pivotField showAll="0"/>
    <pivotField showAll="0"/>
    <pivotField showAll="0"/>
    <pivotField showAll="0"/>
    <pivotField showAll="0"/>
    <pivotField showAll="0"/>
    <pivotField dataField="1" showAll="0"/>
    <pivotField showAll="0"/>
    <pivotField showAll="0"/>
    <pivotField axis="axisRow" showAll="0">
      <items count="8">
        <item x="0"/>
        <item x="6"/>
        <item x="5"/>
        <item x="4"/>
        <item x="3"/>
        <item x="2"/>
        <item x="1"/>
        <item t="default"/>
      </items>
    </pivotField>
    <pivotField showAll="0"/>
  </pivotFields>
  <rowFields count="1">
    <field x="11"/>
  </rowFields>
  <rowItems count="7">
    <i>
      <x/>
    </i>
    <i>
      <x v="1"/>
    </i>
    <i>
      <x v="2"/>
    </i>
    <i>
      <x v="3"/>
    </i>
    <i>
      <x v="4"/>
    </i>
    <i>
      <x v="5"/>
    </i>
    <i>
      <x v="6"/>
    </i>
  </rowItems>
  <colFields count="1">
    <field x="-2"/>
  </colFields>
  <colItems count="2">
    <i>
      <x/>
    </i>
    <i i="1">
      <x v="1"/>
    </i>
  </colItems>
  <dataFields count="2">
    <dataField name="Demand" fld="8" baseField="0" baseItem="0"/>
    <dataField name="Supply"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87705D-1BD6-4F7C-94E7-0768DC2193EA}" name="PivotTable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I32" firstHeaderRow="1" firstDataRow="2" firstDataCol="1"/>
  <pivotFields count="8">
    <pivotField showAll="0"/>
    <pivotField showAll="0"/>
    <pivotField showAll="0"/>
    <pivotField dataField="1" showAll="0"/>
    <pivotField showAll="0"/>
    <pivotField axis="axisRow"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8">
        <item x="0"/>
        <item x="6"/>
        <item x="5"/>
        <item x="4"/>
        <item x="3"/>
        <item x="2"/>
        <item x="1"/>
        <item t="default"/>
      </items>
    </pivotField>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6"/>
  </colFields>
  <colItems count="7">
    <i>
      <x/>
    </i>
    <i>
      <x v="1"/>
    </i>
    <i>
      <x v="2"/>
    </i>
    <i>
      <x v="3"/>
    </i>
    <i>
      <x v="4"/>
    </i>
    <i>
      <x v="5"/>
    </i>
    <i>
      <x v="6"/>
    </i>
  </colItems>
  <dataFields count="1">
    <dataField name="Sum of Coverage Ratio (unique)"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1D4E21-300A-4D6B-8F05-160188D3E63C}" name="PivotTable1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5:I30" firstHeaderRow="1" firstDataRow="2" firstDataCol="1"/>
  <pivotFields count="8">
    <pivotField showAll="0"/>
    <pivotField showAll="0"/>
    <pivotField showAll="0"/>
    <pivotField dataField="1" showAll="0"/>
    <pivotField showAll="0"/>
    <pivotField axis="axisRow" showAll="0">
      <items count="25">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8">
        <item x="0"/>
        <item x="6"/>
        <item x="5"/>
        <item x="4"/>
        <item x="3"/>
        <item x="2"/>
        <item x="1"/>
        <item t="default"/>
      </items>
    </pivotField>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6"/>
  </colFields>
  <colItems count="7">
    <i>
      <x/>
    </i>
    <i>
      <x v="1"/>
    </i>
    <i>
      <x v="2"/>
    </i>
    <i>
      <x v="3"/>
    </i>
    <i>
      <x v="4"/>
    </i>
    <i>
      <x v="5"/>
    </i>
    <i>
      <x v="6"/>
    </i>
  </colItems>
  <dataFields count="1">
    <dataField name="Sum of Coverage Ratio (uniq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CDAE2-793B-4A03-A383-7E1FB1A75B3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7:C32" firstHeaderRow="1" firstDataRow="1" firstDataCol="1"/>
  <pivotFields count="13">
    <pivotField showAll="0"/>
    <pivotField showAll="0"/>
    <pivotField showAll="0"/>
    <pivotField showAll="0"/>
    <pivotField showAll="0"/>
    <pivotField showAll="0"/>
    <pivotField showAll="0"/>
    <pivotField showAll="0"/>
    <pivotField dataField="1" showAll="0"/>
    <pivotField showAll="0"/>
    <pivotField axis="axisRow" showAll="0">
      <items count="25">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s>
  <rowFields count="1">
    <field x="1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Finished Rid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32163F-38D2-4330-A3F6-AC9EF666FB8D}"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E14" firstHeaderRow="0" firstDataRow="1" firstDataCol="1"/>
  <pivotFields count="8">
    <pivotField showAll="0"/>
    <pivotField showAll="0"/>
    <pivotField dataField="1" showAll="0"/>
    <pivotField dataField="1" showAll="0"/>
    <pivotField axis="axisRow" showAll="0">
      <items count="8">
        <item x="6"/>
        <item x="5"/>
        <item x="4"/>
        <item x="3"/>
        <item x="2"/>
        <item x="1"/>
        <item x="0"/>
        <item t="default"/>
      </items>
    </pivotField>
    <pivotField showAll="0"/>
    <pivotField showAll="0"/>
    <pivotField dataField="1" showAll="0"/>
  </pivotFields>
  <rowFields count="1">
    <field x="4"/>
  </rowFields>
  <rowItems count="8">
    <i>
      <x/>
    </i>
    <i>
      <x v="1"/>
    </i>
    <i>
      <x v="2"/>
    </i>
    <i>
      <x v="3"/>
    </i>
    <i>
      <x v="4"/>
    </i>
    <i>
      <x v="5"/>
    </i>
    <i>
      <x v="6"/>
    </i>
    <i t="grand">
      <x/>
    </i>
  </rowItems>
  <colFields count="1">
    <field x="-2"/>
  </colFields>
  <colItems count="3">
    <i>
      <x/>
    </i>
    <i i="1">
      <x v="1"/>
    </i>
    <i i="2">
      <x v="2"/>
    </i>
  </colItems>
  <dataFields count="3">
    <dataField name="Sum of People saw +1 cars (unique)" fld="2" baseField="0" baseItem="0"/>
    <dataField name="Max of Coverage Ratio (unique)" fld="3" subtotal="max" baseField="0" baseItem="0"/>
    <dataField name="Estimated Daily Trip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B9A0C-1E79-4DEE-B6E2-0F6464E38F21}"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2:C37" firstHeaderRow="1" firstDataRow="1" firstDataCol="1"/>
  <pivotFields count="13">
    <pivotField showAll="0"/>
    <pivotField showAll="0"/>
    <pivotField showAll="0"/>
    <pivotField showAll="0"/>
    <pivotField showAll="0"/>
    <pivotField showAll="0"/>
    <pivotField showAll="0"/>
    <pivotField showAll="0"/>
    <pivotField dataField="1" showAll="0"/>
    <pivotField showAll="0"/>
    <pivotField axis="axisRow" showAll="0" sortType="descending">
      <items count="25">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25">
    <i>
      <x v="19"/>
    </i>
    <i>
      <x v="23"/>
    </i>
    <i>
      <x v="18"/>
    </i>
    <i>
      <x v="9"/>
    </i>
    <i>
      <x v="17"/>
    </i>
    <i>
      <x v="20"/>
    </i>
    <i>
      <x/>
    </i>
    <i>
      <x v="21"/>
    </i>
    <i>
      <x v="22"/>
    </i>
    <i>
      <x v="8"/>
    </i>
    <i>
      <x v="16"/>
    </i>
    <i>
      <x v="13"/>
    </i>
    <i>
      <x v="7"/>
    </i>
    <i>
      <x v="1"/>
    </i>
    <i>
      <x v="12"/>
    </i>
    <i>
      <x v="10"/>
    </i>
    <i>
      <x v="2"/>
    </i>
    <i>
      <x v="11"/>
    </i>
    <i>
      <x v="14"/>
    </i>
    <i>
      <x v="15"/>
    </i>
    <i>
      <x v="3"/>
    </i>
    <i>
      <x v="4"/>
    </i>
    <i>
      <x v="5"/>
    </i>
    <i>
      <x v="6"/>
    </i>
    <i t="grand">
      <x/>
    </i>
  </rowItems>
  <colItems count="1">
    <i/>
  </colItems>
  <dataFields count="1">
    <dataField name="Sum of Finished Rid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93A721-686B-4372-9106-572C36899D29}" name="Table1" displayName="Table1" ref="A1:H169" totalsRowShown="0" headerRowDxfId="34" dataDxfId="33">
  <autoFilter ref="A1:H169" xr:uid="{3393A721-686B-4372-9106-572C36899D29}"/>
  <tableColumns count="8">
    <tableColumn id="1" xr3:uid="{9EFEBED4-3644-43FC-AD8F-FD1F7A6E1F82}" name="Date" dataDxfId="32"/>
    <tableColumn id="2" xr3:uid="{79510619-FE24-400C-850A-E57D90370B32}" name="People saw 0 cars (unique)" dataDxfId="31"/>
    <tableColumn id="3" xr3:uid="{AF676046-4B1B-4DA4-836C-C2C3B1097F9B}" name="People saw +1 cars (unique)" dataDxfId="30"/>
    <tableColumn id="4" xr3:uid="{C7E6556C-E0C3-4C9F-B616-9CA56BA59308}" name="Coverage Ratio (unique)" dataDxfId="29"/>
    <tableColumn id="5" xr3:uid="{5823B945-92B0-4469-AFB2-1F37E6567B14}" name="New Date" dataDxfId="28">
      <calculatedColumnFormula>LEFT(Table1[[#This Row],[Date]],10)</calculatedColumnFormula>
    </tableColumn>
    <tableColumn id="6" xr3:uid="{D60609BE-1A4B-4006-A706-224C2463395C}" name="Hour" dataDxfId="27">
      <calculatedColumnFormula>RIGHT(Table1[[#This Row],[Date]], 2)</calculatedColumnFormula>
    </tableColumn>
    <tableColumn id="7" xr3:uid="{365E7D7E-CBDE-4E1D-8486-1AA021082141}" name="Weekday" dataDxfId="26">
      <calculatedColumnFormula>TEXT(Table1[[#This Row],[New Date]],"ddd")</calculatedColumnFormula>
    </tableColumn>
    <tableColumn id="9" xr3:uid="{9A81FD93-7CC2-42D6-964B-A01C9E4B2C13}" name="Estimated trips" dataDxfId="25">
      <calculatedColumnFormula>Table1[[#This Row],[People saw +1 cars (unique)]]*Table1[[#This Row],[Coverage Ratio (unique)]]</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FEDFDD-CB00-4DCD-82DF-1DF1B27F9CC5}" name="Table2" displayName="Table2" ref="A1:M169" totalsRowShown="0" headerRowDxfId="24" dataDxfId="23">
  <autoFilter ref="A1:M169" xr:uid="{90FEDFDD-CB00-4DCD-82DF-1DF1B27F9CC5}"/>
  <tableColumns count="13">
    <tableColumn id="1" xr3:uid="{E56751D4-19E5-46F0-863B-51FC95963FEC}" name="Date" dataDxfId="22"/>
    <tableColumn id="2" xr3:uid="{10F2D601-5A1A-42BD-BBAB-1C591536395B}" name="Active drivers" dataDxfId="21"/>
    <tableColumn id="3" xr3:uid="{80A1D1D7-77C1-49EC-8C28-8FD8BB39F075}" name="Online (h)" dataDxfId="20"/>
    <tableColumn id="4" xr3:uid="{36F4C963-C256-4FF3-A7CD-897B9F72CD7E}" name="Has booking (h)" dataDxfId="19"/>
    <tableColumn id="5" xr3:uid="{2D940B01-2EE1-4A3B-BCA9-CCB3716BF502}" name="Waiting for booking (h)" dataDxfId="18"/>
    <tableColumn id="6" xr3:uid="{886EC748-A736-41C2-B9EB-6AB987D87A0C}" name="Busy (h)" dataDxfId="17"/>
    <tableColumn id="7" xr3:uid="{D5F4478E-BC1C-4381-AF73-4E350C8FC535}" name="Hours per active driver" dataDxfId="16"/>
    <tableColumn id="8" xr3:uid="{D4474584-1592-403C-8610-D0A44A0F47B8}" name="Rides per online hour" dataDxfId="15"/>
    <tableColumn id="9" xr3:uid="{C87302FA-FAAD-4C80-9D23-E1134F314036}" name="Finished Rides" dataDxfId="14"/>
    <tableColumn id="10" xr3:uid="{F514E2BC-5AFB-4770-840F-854E2C86CF01}" name="New Date" dataDxfId="13">
      <calculatedColumnFormula>LEFT(Table2[[#This Row],[Date]],10)</calculatedColumnFormula>
    </tableColumn>
    <tableColumn id="11" xr3:uid="{283C8301-57EB-4449-B560-A89330D62031}" name="Hour" dataDxfId="12">
      <calculatedColumnFormula>RIGHT(Table2[[#This Row],[Date]],2)</calculatedColumnFormula>
    </tableColumn>
    <tableColumn id="12" xr3:uid="{D3DA4C9D-75A1-4B5F-B943-2C954418CC0B}" name="Weekday" dataDxfId="11">
      <calculatedColumnFormula>TEXT(Table2[[#This Row],[New Date]], "ddd")</calculatedColumnFormula>
    </tableColumn>
    <tableColumn id="13" xr3:uid="{5BE54FA0-FB00-4B7A-B0CD-219164A1819D}" name="Utilization" dataDxfId="10">
      <calculatedColumnFormula>IF(OR(VALUE(F2)&lt;=5, VALUE(F2)&gt;=20), "Off-Peak", IF(OR(VALUE(F2)=7, VALUE(F2)=8, VALUE(F2)=9, VALUE(F2)=16, VALUE(F2)=17, VALUE(F2)=18), "Peak", "Moderate"))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6"/>
  <sheetViews>
    <sheetView showGridLines="0" topLeftCell="A13" workbookViewId="0">
      <selection activeCell="D9" sqref="D9"/>
    </sheetView>
  </sheetViews>
  <sheetFormatPr defaultColWidth="14.453125" defaultRowHeight="15" customHeight="1"/>
  <cols>
    <col min="1" max="1" width="3" customWidth="1"/>
    <col min="2" max="4" width="10.36328125" customWidth="1"/>
    <col min="5" max="11" width="16.90625" customWidth="1"/>
    <col min="12" max="12" width="17" customWidth="1"/>
    <col min="13" max="14" width="10.6328125" hidden="1" customWidth="1"/>
    <col min="15" max="26" width="10.6328125" customWidth="1"/>
  </cols>
  <sheetData>
    <row r="1" spans="1:14" ht="54.75" customHeight="1">
      <c r="A1" s="1"/>
      <c r="B1" s="1"/>
      <c r="C1" s="1"/>
      <c r="D1" s="2"/>
      <c r="E1" s="1"/>
      <c r="F1" s="1"/>
      <c r="G1" s="1"/>
      <c r="H1" s="1"/>
      <c r="I1" s="1"/>
      <c r="J1" s="1"/>
      <c r="K1" s="1"/>
    </row>
    <row r="2" spans="1:14" ht="14.5">
      <c r="A2" s="3"/>
      <c r="B2" s="3"/>
      <c r="C2" s="3"/>
      <c r="D2" s="3"/>
      <c r="E2" s="3"/>
      <c r="F2" s="3"/>
      <c r="G2" s="3"/>
      <c r="H2" s="3"/>
      <c r="I2" s="3"/>
      <c r="J2" s="3"/>
      <c r="K2" s="3"/>
      <c r="L2" s="3"/>
    </row>
    <row r="4" spans="1:14" ht="25">
      <c r="B4" s="4" t="s">
        <v>0</v>
      </c>
      <c r="C4" s="5"/>
      <c r="D4" s="5"/>
      <c r="E4" s="5"/>
      <c r="F4" s="5"/>
      <c r="G4" s="5"/>
      <c r="H4" s="5"/>
      <c r="I4" s="5"/>
      <c r="J4" s="5"/>
      <c r="K4" s="5"/>
    </row>
    <row r="5" spans="1:14" ht="14.5">
      <c r="B5" s="5"/>
      <c r="C5" s="5"/>
      <c r="D5" s="5"/>
      <c r="E5" s="5"/>
      <c r="F5" s="5"/>
      <c r="G5" s="5"/>
      <c r="H5" s="5"/>
      <c r="I5" s="5"/>
      <c r="J5" s="5"/>
      <c r="K5" s="5"/>
    </row>
    <row r="6" spans="1:14" ht="45" customHeight="1">
      <c r="B6" s="37" t="s">
        <v>1</v>
      </c>
      <c r="C6" s="38"/>
      <c r="D6" s="38"/>
      <c r="E6" s="38"/>
      <c r="F6" s="38"/>
      <c r="G6" s="38"/>
      <c r="H6" s="38"/>
      <c r="I6" s="38"/>
      <c r="J6" s="38"/>
      <c r="K6" s="38"/>
    </row>
    <row r="7" spans="1:14" ht="14.5">
      <c r="B7" s="5"/>
      <c r="C7" s="5"/>
      <c r="D7" s="5"/>
      <c r="E7" s="5"/>
      <c r="F7" s="5"/>
      <c r="G7" s="5"/>
      <c r="H7" s="5"/>
      <c r="I7" s="5"/>
      <c r="J7" s="5"/>
      <c r="K7" s="5"/>
    </row>
    <row r="8" spans="1:14" ht="14.5">
      <c r="B8" s="6"/>
      <c r="C8" s="6"/>
      <c r="D8" s="6"/>
      <c r="E8" s="6"/>
      <c r="F8" s="6"/>
      <c r="G8" s="6"/>
      <c r="H8" s="6"/>
      <c r="I8" s="6"/>
      <c r="J8" s="6"/>
      <c r="K8" s="6"/>
    </row>
    <row r="9" spans="1:14" ht="14.5">
      <c r="B9" s="7" t="s">
        <v>2</v>
      </c>
      <c r="C9" s="5"/>
      <c r="D9" s="5"/>
      <c r="E9" s="5"/>
      <c r="F9" s="5"/>
      <c r="G9" s="5"/>
      <c r="H9" s="5"/>
      <c r="I9" s="5"/>
      <c r="J9" s="5"/>
      <c r="K9" s="5"/>
    </row>
    <row r="10" spans="1:14" ht="45" customHeight="1">
      <c r="B10" s="41" t="s">
        <v>3</v>
      </c>
      <c r="C10" s="42"/>
      <c r="D10" s="42"/>
      <c r="E10" s="42"/>
      <c r="F10" s="42"/>
      <c r="G10" s="42"/>
      <c r="H10" s="42"/>
      <c r="I10" s="42"/>
      <c r="J10" s="42"/>
      <c r="K10" s="42"/>
      <c r="L10" s="8"/>
    </row>
    <row r="11" spans="1:14" ht="45" customHeight="1">
      <c r="B11" s="37" t="s">
        <v>4</v>
      </c>
      <c r="C11" s="38"/>
      <c r="D11" s="38"/>
      <c r="E11" s="38"/>
      <c r="F11" s="38"/>
      <c r="G11" s="38"/>
      <c r="H11" s="38"/>
      <c r="I11" s="38"/>
      <c r="J11" s="38"/>
      <c r="K11" s="38"/>
      <c r="L11" s="9"/>
      <c r="N11" s="10"/>
    </row>
    <row r="12" spans="1:14" ht="45" customHeight="1">
      <c r="B12" s="39" t="s">
        <v>5</v>
      </c>
      <c r="C12" s="40"/>
      <c r="D12" s="40"/>
      <c r="E12" s="40"/>
      <c r="F12" s="40"/>
      <c r="G12" s="40"/>
      <c r="H12" s="40"/>
      <c r="I12" s="40"/>
      <c r="J12" s="40"/>
      <c r="K12" s="40"/>
      <c r="L12" s="9"/>
    </row>
    <row r="13" spans="1:14" ht="45" customHeight="1">
      <c r="B13" s="37" t="s">
        <v>6</v>
      </c>
      <c r="C13" s="38"/>
      <c r="D13" s="38"/>
      <c r="E13" s="38"/>
      <c r="F13" s="38"/>
      <c r="G13" s="38"/>
      <c r="H13" s="38"/>
      <c r="I13" s="38"/>
      <c r="J13" s="38"/>
      <c r="K13" s="38"/>
      <c r="L13" s="9"/>
    </row>
    <row r="14" spans="1:14" ht="45" customHeight="1">
      <c r="B14" s="39" t="s">
        <v>7</v>
      </c>
      <c r="C14" s="40"/>
      <c r="D14" s="40"/>
      <c r="E14" s="40"/>
      <c r="F14" s="40"/>
      <c r="G14" s="40"/>
      <c r="H14" s="40"/>
      <c r="I14" s="40"/>
      <c r="J14" s="40"/>
      <c r="K14" s="40"/>
      <c r="L14" s="9"/>
    </row>
    <row r="15" spans="1:14" ht="45" customHeight="1">
      <c r="B15" s="37" t="s">
        <v>8</v>
      </c>
      <c r="C15" s="38"/>
      <c r="D15" s="38"/>
      <c r="E15" s="38"/>
      <c r="F15" s="38"/>
      <c r="G15" s="38"/>
      <c r="H15" s="38"/>
      <c r="I15" s="38"/>
      <c r="J15" s="38"/>
      <c r="K15" s="38"/>
      <c r="L15" s="9"/>
    </row>
    <row r="16" spans="1:14" ht="45" customHeight="1">
      <c r="B16" s="39" t="s">
        <v>9</v>
      </c>
      <c r="C16" s="40"/>
      <c r="D16" s="40"/>
      <c r="E16" s="40"/>
      <c r="F16" s="40"/>
      <c r="G16" s="40"/>
      <c r="H16" s="40"/>
      <c r="I16" s="40"/>
      <c r="J16" s="40"/>
      <c r="K16" s="40"/>
      <c r="L16" s="9"/>
    </row>
    <row r="17" ht="15.75" customHeight="1"/>
    <row r="18" ht="15.75" hidden="1" customHeight="1"/>
    <row r="19" ht="15.75" hidden="1" customHeight="1"/>
    <row r="20" ht="15.75" hidden="1" customHeight="1"/>
    <row r="21" ht="15.75" hidden="1" customHeight="1"/>
    <row r="22" ht="15.75" hidden="1" customHeight="1"/>
    <row r="23" ht="15.75" hidden="1" customHeight="1"/>
    <row r="24" ht="15.75" hidden="1" customHeight="1"/>
    <row r="25" ht="15.75" hidden="1" customHeight="1"/>
    <row r="26" ht="15.75" hidden="1" customHeight="1"/>
    <row r="27" ht="15.75" hidden="1" customHeight="1"/>
    <row r="28" ht="15.75" hidden="1" customHeight="1"/>
    <row r="29" ht="15.75" hidden="1" customHeight="1"/>
    <row r="30" ht="15.75" hidden="1" customHeight="1"/>
    <row r="31" ht="15.75" hidden="1" customHeight="1"/>
    <row r="32"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8">
    <mergeCell ref="B15:K15"/>
    <mergeCell ref="B16:K16"/>
    <mergeCell ref="B6:K6"/>
    <mergeCell ref="B10:K10"/>
    <mergeCell ref="B11:K11"/>
    <mergeCell ref="B12:K12"/>
    <mergeCell ref="B13:K13"/>
    <mergeCell ref="B14:K1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6" workbookViewId="0">
      <selection activeCell="H12" sqref="H12"/>
    </sheetView>
  </sheetViews>
  <sheetFormatPr defaultColWidth="14.453125" defaultRowHeight="15" customHeight="1"/>
  <cols>
    <col min="1" max="1" width="3" customWidth="1"/>
    <col min="2" max="12" width="9.08984375" customWidth="1"/>
    <col min="13" max="13" width="5.453125" customWidth="1"/>
    <col min="14" max="24" width="9.08984375" customWidth="1"/>
    <col min="25" max="26" width="10.6328125" hidden="1" customWidth="1"/>
  </cols>
  <sheetData>
    <row r="1" spans="1:26" ht="54.75" customHeight="1">
      <c r="A1" s="1"/>
      <c r="B1" s="1"/>
      <c r="C1" s="1"/>
      <c r="D1" s="2"/>
      <c r="E1" s="1"/>
      <c r="F1" s="1"/>
      <c r="G1" s="1"/>
      <c r="H1" s="1"/>
      <c r="I1" s="1"/>
      <c r="J1" s="1"/>
      <c r="K1" s="1"/>
      <c r="L1" s="1"/>
    </row>
    <row r="2" spans="1:26" ht="14.5">
      <c r="A2" s="3"/>
      <c r="B2" s="3"/>
      <c r="C2" s="3"/>
      <c r="D2" s="3"/>
      <c r="E2" s="3"/>
      <c r="F2" s="3"/>
      <c r="G2" s="3"/>
      <c r="H2" s="3"/>
      <c r="I2" s="3"/>
      <c r="J2" s="3"/>
      <c r="K2" s="3"/>
      <c r="L2" s="3"/>
      <c r="N2" s="3"/>
      <c r="O2" s="3"/>
      <c r="P2" s="3"/>
      <c r="Q2" s="3"/>
      <c r="R2" s="3"/>
      <c r="S2" s="3"/>
      <c r="T2" s="3"/>
      <c r="U2" s="3"/>
      <c r="V2" s="3"/>
      <c r="W2" s="3"/>
      <c r="X2" s="3"/>
    </row>
    <row r="4" spans="1:26" ht="25">
      <c r="B4" s="4" t="s">
        <v>10</v>
      </c>
      <c r="C4" s="5"/>
      <c r="D4" s="5"/>
      <c r="E4" s="5"/>
      <c r="F4" s="5"/>
      <c r="G4" s="5"/>
      <c r="H4" s="5"/>
      <c r="I4" s="5"/>
      <c r="J4" s="5"/>
      <c r="K4" s="5"/>
      <c r="L4" s="5"/>
      <c r="N4" s="4" t="s">
        <v>11</v>
      </c>
    </row>
    <row r="5" spans="1:26" ht="14.5">
      <c r="B5" s="5"/>
      <c r="C5" s="5"/>
      <c r="D5" s="5"/>
      <c r="E5" s="5"/>
      <c r="F5" s="5"/>
      <c r="G5" s="5"/>
      <c r="H5" s="5"/>
      <c r="I5" s="5"/>
      <c r="J5" s="5"/>
      <c r="K5" s="5"/>
      <c r="L5" s="5"/>
    </row>
    <row r="6" spans="1:26" ht="45" customHeight="1">
      <c r="B6" s="37" t="s">
        <v>12</v>
      </c>
      <c r="C6" s="38"/>
      <c r="D6" s="38"/>
      <c r="E6" s="38"/>
      <c r="F6" s="38"/>
      <c r="G6" s="38"/>
      <c r="H6" s="38"/>
      <c r="I6" s="38"/>
      <c r="J6" s="38"/>
      <c r="K6" s="38"/>
      <c r="L6" s="38"/>
      <c r="N6" s="37" t="s">
        <v>13</v>
      </c>
      <c r="O6" s="38"/>
      <c r="P6" s="38"/>
      <c r="Q6" s="38"/>
      <c r="R6" s="38"/>
      <c r="S6" s="38"/>
      <c r="T6" s="38"/>
      <c r="U6" s="38"/>
      <c r="V6" s="38"/>
      <c r="W6" s="38"/>
    </row>
    <row r="7" spans="1:26" ht="14.5">
      <c r="B7" s="7"/>
      <c r="C7" s="5"/>
      <c r="D7" s="5"/>
      <c r="E7" s="5"/>
      <c r="F7" s="5"/>
      <c r="G7" s="5"/>
      <c r="H7" s="5"/>
      <c r="I7" s="5"/>
      <c r="J7" s="5"/>
      <c r="K7" s="5"/>
      <c r="L7" s="5"/>
      <c r="N7" s="7"/>
    </row>
    <row r="8" spans="1:26" ht="14.5">
      <c r="B8" s="7" t="s">
        <v>14</v>
      </c>
      <c r="C8" s="5"/>
      <c r="D8" s="5"/>
      <c r="E8" s="5"/>
      <c r="F8" s="5"/>
      <c r="G8" s="5"/>
      <c r="H8" s="5"/>
      <c r="I8" s="5"/>
      <c r="J8" s="5"/>
      <c r="K8" s="5"/>
      <c r="L8" s="5"/>
      <c r="N8" s="7" t="s">
        <v>14</v>
      </c>
    </row>
    <row r="9" spans="1:26" ht="24.75" customHeight="1">
      <c r="B9" s="11" t="s">
        <v>15</v>
      </c>
      <c r="C9" s="6"/>
      <c r="D9" s="6"/>
      <c r="E9" s="6"/>
      <c r="F9" s="6"/>
      <c r="G9" s="6"/>
      <c r="H9" s="5"/>
      <c r="I9" s="5"/>
      <c r="J9" s="5"/>
      <c r="K9" s="5"/>
      <c r="L9" s="5"/>
      <c r="N9" s="11" t="s">
        <v>16</v>
      </c>
      <c r="O9" s="12"/>
      <c r="P9" s="12"/>
      <c r="Q9" s="12"/>
      <c r="R9" s="12"/>
      <c r="S9" s="12"/>
    </row>
    <row r="10" spans="1:26" ht="24.75" customHeight="1">
      <c r="B10" s="11" t="s">
        <v>17</v>
      </c>
      <c r="C10" s="6"/>
      <c r="D10" s="6"/>
      <c r="E10" s="6"/>
      <c r="F10" s="6"/>
      <c r="G10" s="6"/>
      <c r="H10" s="5"/>
      <c r="I10" s="5"/>
      <c r="J10" s="5"/>
      <c r="K10" s="5"/>
      <c r="L10" s="5"/>
      <c r="N10" s="11" t="s">
        <v>18</v>
      </c>
      <c r="O10" s="12"/>
      <c r="P10" s="12"/>
      <c r="Q10" s="12"/>
      <c r="R10" s="12"/>
      <c r="S10" s="12"/>
      <c r="T10" s="13"/>
      <c r="U10" s="13"/>
      <c r="V10" s="13"/>
      <c r="W10" s="13"/>
      <c r="X10" s="13"/>
      <c r="Y10" s="13"/>
      <c r="Z10" s="13"/>
    </row>
    <row r="11" spans="1:26" ht="24.75" customHeight="1">
      <c r="B11" s="11" t="s">
        <v>19</v>
      </c>
      <c r="C11" s="14"/>
      <c r="D11" s="14"/>
      <c r="E11" s="14"/>
      <c r="F11" s="14"/>
      <c r="G11" s="14"/>
      <c r="H11" s="5"/>
      <c r="I11" s="5"/>
      <c r="J11" s="5"/>
      <c r="K11" s="5"/>
      <c r="L11" s="5"/>
      <c r="N11" s="11" t="s">
        <v>20</v>
      </c>
      <c r="O11" s="12"/>
      <c r="P11" s="12"/>
      <c r="Q11" s="12"/>
      <c r="R11" s="12"/>
      <c r="S11" s="12"/>
      <c r="T11" s="13"/>
      <c r="U11" s="13"/>
      <c r="V11" s="13"/>
      <c r="W11" s="13"/>
      <c r="X11" s="13"/>
      <c r="Y11" s="13"/>
      <c r="Z11" s="13"/>
    </row>
    <row r="12" spans="1:26" ht="24.75" customHeight="1">
      <c r="B12" s="11" t="s">
        <v>21</v>
      </c>
      <c r="C12" s="14"/>
      <c r="D12" s="14"/>
      <c r="E12" s="14"/>
      <c r="F12" s="14"/>
      <c r="G12" s="14"/>
      <c r="H12" s="5"/>
      <c r="I12" s="5"/>
      <c r="J12" s="5"/>
      <c r="K12" s="5"/>
      <c r="L12" s="5"/>
      <c r="N12" s="11" t="s">
        <v>22</v>
      </c>
      <c r="O12" s="12"/>
      <c r="P12" s="12"/>
      <c r="Q12" s="12"/>
      <c r="R12" s="12"/>
      <c r="S12" s="12"/>
      <c r="T12" s="13"/>
      <c r="U12" s="13"/>
      <c r="V12" s="13"/>
      <c r="W12" s="13"/>
      <c r="X12" s="13"/>
      <c r="Y12" s="13"/>
      <c r="Z12" s="13"/>
    </row>
    <row r="13" spans="1:26" ht="24.75" customHeight="1">
      <c r="B13" s="5"/>
      <c r="C13" s="12"/>
      <c r="D13" s="12"/>
      <c r="E13" s="12"/>
      <c r="F13" s="12"/>
      <c r="G13" s="12"/>
      <c r="H13" s="5"/>
      <c r="I13" s="5"/>
      <c r="J13" s="5"/>
      <c r="K13" s="5"/>
      <c r="L13" s="5"/>
      <c r="N13" s="11" t="s">
        <v>23</v>
      </c>
      <c r="O13" s="12"/>
      <c r="P13" s="12"/>
      <c r="Q13" s="12"/>
      <c r="R13" s="12"/>
      <c r="S13" s="12"/>
      <c r="T13" s="13"/>
      <c r="U13" s="13"/>
      <c r="V13" s="13"/>
      <c r="W13" s="13"/>
      <c r="X13" s="13"/>
      <c r="Y13" s="13"/>
      <c r="Z13" s="13"/>
    </row>
    <row r="14" spans="1:26" ht="24.75" customHeight="1">
      <c r="B14" s="15" t="s">
        <v>24</v>
      </c>
      <c r="C14" s="12"/>
      <c r="D14" s="12"/>
      <c r="E14" s="12"/>
      <c r="F14" s="12"/>
      <c r="G14" s="12"/>
      <c r="H14" s="5"/>
      <c r="I14" s="5"/>
      <c r="J14" s="5"/>
      <c r="K14" s="5"/>
      <c r="L14" s="5"/>
      <c r="N14" s="11" t="s">
        <v>25</v>
      </c>
      <c r="O14" s="12"/>
      <c r="P14" s="12"/>
      <c r="Q14" s="12"/>
      <c r="R14" s="12"/>
      <c r="S14" s="12"/>
      <c r="T14" s="13"/>
      <c r="U14" s="13"/>
      <c r="V14" s="13"/>
      <c r="W14" s="13"/>
      <c r="X14" s="13"/>
      <c r="Y14" s="13"/>
      <c r="Z14" s="13"/>
    </row>
    <row r="15" spans="1:26" ht="24.75" customHeight="1">
      <c r="B15" s="5"/>
      <c r="C15" s="5"/>
      <c r="D15" s="5"/>
      <c r="E15" s="5"/>
      <c r="F15" s="5"/>
      <c r="G15" s="5"/>
      <c r="H15" s="5"/>
      <c r="I15" s="5"/>
      <c r="J15" s="5"/>
      <c r="K15" s="5"/>
      <c r="L15" s="5"/>
      <c r="N15" s="11" t="s">
        <v>26</v>
      </c>
      <c r="O15" s="12"/>
      <c r="P15" s="12"/>
      <c r="Q15" s="12"/>
      <c r="R15" s="12"/>
      <c r="S15" s="12"/>
      <c r="T15" s="13"/>
      <c r="U15" s="13"/>
      <c r="V15" s="13"/>
      <c r="W15" s="13"/>
      <c r="X15" s="13"/>
      <c r="Y15" s="13"/>
      <c r="Z15" s="13"/>
    </row>
    <row r="16" spans="1:26" ht="24.75" customHeight="1">
      <c r="B16" s="5"/>
      <c r="C16" s="5"/>
      <c r="D16" s="5"/>
      <c r="E16" s="5"/>
      <c r="F16" s="5"/>
      <c r="G16" s="5"/>
      <c r="H16" s="5"/>
      <c r="I16" s="5"/>
      <c r="J16" s="5"/>
      <c r="K16" s="5"/>
      <c r="L16" s="5"/>
      <c r="N16" s="11" t="s">
        <v>27</v>
      </c>
      <c r="O16" s="12"/>
      <c r="P16" s="12"/>
      <c r="Q16" s="12"/>
      <c r="R16" s="12"/>
      <c r="S16" s="12"/>
      <c r="T16" s="13"/>
      <c r="U16" s="13"/>
      <c r="V16" s="13"/>
      <c r="W16" s="13"/>
      <c r="X16" s="13"/>
      <c r="Y16" s="13"/>
      <c r="Z16" s="13"/>
    </row>
    <row r="17" spans="2:26" ht="24.75" customHeight="1">
      <c r="B17" s="5"/>
      <c r="C17" s="5"/>
      <c r="D17" s="5"/>
      <c r="E17" s="5"/>
      <c r="F17" s="5"/>
      <c r="G17" s="5"/>
      <c r="H17" s="5"/>
      <c r="I17" s="5"/>
      <c r="J17" s="5"/>
      <c r="K17" s="5"/>
      <c r="L17" s="5"/>
      <c r="N17" s="11" t="s">
        <v>28</v>
      </c>
      <c r="O17" s="12"/>
      <c r="P17" s="12"/>
      <c r="Q17" s="12"/>
      <c r="R17" s="12"/>
      <c r="S17" s="12"/>
      <c r="T17" s="13"/>
      <c r="U17" s="13"/>
      <c r="V17" s="13"/>
      <c r="W17" s="13"/>
      <c r="X17" s="13"/>
      <c r="Y17" s="13"/>
      <c r="Z17" s="13"/>
    </row>
    <row r="18" spans="2:26" ht="24.75" customHeight="1">
      <c r="N18" s="5"/>
      <c r="O18" s="5"/>
      <c r="P18" s="5"/>
      <c r="Q18" s="5"/>
      <c r="R18" s="5"/>
      <c r="S18" s="5"/>
    </row>
    <row r="19" spans="2:26" ht="24.75" customHeight="1">
      <c r="N19" s="43" t="s">
        <v>24</v>
      </c>
      <c r="O19" s="38"/>
      <c r="P19" s="38"/>
      <c r="Q19" s="38"/>
      <c r="R19" s="38"/>
      <c r="S19" s="38"/>
    </row>
    <row r="20" spans="2:26" ht="24.75" customHeight="1"/>
    <row r="21" spans="2:26" ht="15.75" hidden="1" customHeight="1">
      <c r="L21" s="16"/>
    </row>
    <row r="22" spans="2:26" ht="15.75" hidden="1" customHeight="1"/>
    <row r="23" spans="2:26" ht="15.75" hidden="1" customHeight="1"/>
    <row r="24" spans="2:26" ht="15.75" hidden="1" customHeight="1"/>
    <row r="25" spans="2:26" ht="15.75" hidden="1" customHeight="1"/>
    <row r="26" spans="2:26" ht="15.75" hidden="1" customHeight="1"/>
    <row r="27" spans="2:26" ht="15.75" hidden="1" customHeight="1"/>
    <row r="28" spans="2:26" ht="15.75" hidden="1" customHeight="1"/>
    <row r="29" spans="2:26" ht="15.75" hidden="1" customHeight="1"/>
    <row r="30" spans="2:26" ht="15.75" hidden="1" customHeight="1"/>
    <row r="31" spans="2:26" ht="15.75" hidden="1" customHeight="1"/>
    <row r="32" spans="2:26" ht="15.75" hidden="1" customHeight="1"/>
    <row r="33" ht="15.75" hidden="1" customHeight="1"/>
    <row r="34" ht="15.75" hidden="1" customHeight="1"/>
    <row r="35" ht="15.75" hidden="1" customHeight="1"/>
    <row r="36" ht="15.75" hidden="1" customHeight="1"/>
    <row r="37" ht="15.75" hidden="1" customHeight="1"/>
    <row r="38" ht="15.75" hidden="1" customHeight="1"/>
    <row r="39" ht="15.75" hidden="1" customHeight="1"/>
    <row r="40" ht="15.75" hidden="1" customHeight="1"/>
    <row r="41" ht="15.75" hidden="1" customHeight="1"/>
    <row r="42" ht="15.75" hidden="1" customHeight="1"/>
    <row r="43" ht="15.75" hidden="1" customHeight="1"/>
    <row r="44" ht="15.75" hidden="1" customHeight="1"/>
    <row r="45" ht="15.75" hidden="1" customHeight="1"/>
    <row r="46" ht="15.75" hidden="1" customHeight="1"/>
    <row r="47" ht="15.75" hidden="1" customHeight="1"/>
    <row r="48" ht="15.75" hidden="1" customHeight="1"/>
    <row r="49" ht="15.75" hidden="1" customHeight="1"/>
    <row r="50" ht="15.75" hidden="1" customHeight="1"/>
    <row r="51" ht="15.75" hidden="1" customHeight="1"/>
    <row r="52" ht="15.75" hidden="1" customHeight="1"/>
    <row r="53" ht="15.75" hidden="1" customHeight="1"/>
    <row r="54" ht="15.75" hidden="1" customHeight="1"/>
    <row r="55" ht="15.75" hidden="1" customHeight="1"/>
    <row r="56" ht="15.75" hidden="1" customHeight="1"/>
    <row r="57" ht="15.75" hidden="1" customHeight="1"/>
    <row r="58" ht="15.75" hidden="1" customHeight="1"/>
    <row r="59" ht="15.75" hidden="1" customHeight="1"/>
    <row r="60" ht="15.75" hidden="1" customHeight="1"/>
    <row r="61" ht="15.75" hidden="1" customHeight="1"/>
    <row r="62" ht="15.75" hidden="1" customHeight="1"/>
    <row r="63" ht="15.75" hidden="1" customHeight="1"/>
    <row r="64" ht="15.75" hidden="1" customHeight="1"/>
    <row r="65" ht="15.75" hidden="1" customHeight="1"/>
    <row r="66" ht="15.75" hidden="1" customHeight="1"/>
    <row r="67" ht="15.75" hidden="1" customHeight="1"/>
    <row r="68" ht="15.75" hidden="1" customHeight="1"/>
    <row r="69" ht="15.75" hidden="1" customHeight="1"/>
    <row r="70" ht="15.75" hidden="1" customHeight="1"/>
    <row r="71" ht="15.75" hidden="1" customHeight="1"/>
    <row r="72" ht="15.75" hidden="1" customHeight="1"/>
    <row r="73" ht="15.75" hidden="1" customHeight="1"/>
    <row r="74" ht="15.75" hidden="1" customHeight="1"/>
    <row r="75" ht="15.75" hidden="1" customHeight="1"/>
    <row r="76" ht="15.75" hidden="1" customHeight="1"/>
    <row r="77" ht="15.75" hidden="1" customHeight="1"/>
    <row r="78" ht="15.75" hidden="1" customHeight="1"/>
    <row r="79" ht="15.75" hidden="1" customHeight="1"/>
    <row r="80" ht="15.75" hidden="1" customHeight="1"/>
    <row r="81" ht="15.75" hidden="1" customHeight="1"/>
    <row r="82" ht="15.75" hidden="1" customHeight="1"/>
    <row r="83" ht="15.75" hidden="1" customHeight="1"/>
    <row r="84" ht="15.75" hidden="1" customHeight="1"/>
    <row r="85" ht="15.75" hidden="1" customHeight="1"/>
    <row r="86" ht="15.75" hidden="1" customHeight="1"/>
    <row r="87" ht="15.75" hidden="1" customHeight="1"/>
    <row r="88" ht="15.75" hidden="1" customHeight="1"/>
    <row r="89" ht="15.75" hidden="1" customHeight="1"/>
    <row r="90" ht="15.75" hidden="1" customHeight="1"/>
    <row r="91" ht="15.75" hidden="1" customHeight="1"/>
    <row r="92" ht="15.75" hidden="1" customHeight="1"/>
    <row r="93" ht="15.75" hidden="1" customHeight="1"/>
    <row r="94" ht="15.75" hidden="1" customHeight="1"/>
    <row r="95" ht="15.75" hidden="1" customHeight="1"/>
    <row r="96" ht="15.75" hidden="1" customHeight="1"/>
    <row r="97" ht="15.75" hidden="1" customHeight="1"/>
    <row r="98" ht="15.75" hidden="1" customHeight="1"/>
    <row r="99" ht="15.75" hidden="1" customHeight="1"/>
    <row r="100" ht="15.75" hidden="1" customHeight="1"/>
    <row r="101" ht="15.75" hidden="1" customHeight="1"/>
    <row r="102" ht="15.75" hidden="1" customHeight="1"/>
    <row r="103" ht="15.75" hidden="1" customHeight="1"/>
    <row r="104" ht="15.75" hidden="1" customHeight="1"/>
    <row r="105" ht="15.75" hidden="1" customHeight="1"/>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6:L6"/>
    <mergeCell ref="N6:W6"/>
    <mergeCell ref="N19:S19"/>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tabSelected="1" workbookViewId="0">
      <selection activeCell="H2" sqref="H2"/>
    </sheetView>
  </sheetViews>
  <sheetFormatPr defaultColWidth="14.453125" defaultRowHeight="15" customHeight="1"/>
  <cols>
    <col min="1" max="1" width="14.453125" customWidth="1"/>
    <col min="2" max="2" width="29.08984375" customWidth="1"/>
    <col min="3" max="3" width="30.08984375" customWidth="1"/>
    <col min="4" max="4" width="27.08984375" customWidth="1"/>
    <col min="5" max="5" width="12" bestFit="1" customWidth="1"/>
    <col min="6" max="6" width="8.90625" customWidth="1"/>
  </cols>
  <sheetData>
    <row r="1" spans="1:8" ht="15.5">
      <c r="A1" s="17" t="s">
        <v>29</v>
      </c>
      <c r="B1" s="17" t="s">
        <v>30</v>
      </c>
      <c r="C1" s="17" t="s">
        <v>31</v>
      </c>
      <c r="D1" s="17" t="s">
        <v>32</v>
      </c>
      <c r="E1" s="17" t="s">
        <v>214</v>
      </c>
      <c r="F1" s="17" t="s">
        <v>215</v>
      </c>
      <c r="G1" s="17" t="s">
        <v>216</v>
      </c>
      <c r="H1" s="17" t="s">
        <v>269</v>
      </c>
    </row>
    <row r="2" spans="1:8" ht="15.5">
      <c r="A2" s="18" t="s">
        <v>33</v>
      </c>
      <c r="B2" s="19">
        <v>2</v>
      </c>
      <c r="C2" s="19">
        <v>34</v>
      </c>
      <c r="D2" s="19">
        <v>94</v>
      </c>
      <c r="E2" s="19" t="str">
        <f>LEFT(Table1[[#This Row],[Date]],10)</f>
        <v>2016-11-13</v>
      </c>
      <c r="F2" s="19" t="str">
        <f>RIGHT(Table1[[#This Row],[Date]], 2)</f>
        <v>23</v>
      </c>
      <c r="G2" s="19" t="str">
        <f>TEXT(Table1[[#This Row],[New Date]],"ddd")</f>
        <v>Sun</v>
      </c>
      <c r="H2" s="19">
        <f>Table1[[#This Row],[People saw +1 cars (unique)]]*Table1[[#This Row],[Coverage Ratio (unique)]]</f>
        <v>3196</v>
      </c>
    </row>
    <row r="3" spans="1:8" ht="15.5">
      <c r="A3" s="18" t="s">
        <v>34</v>
      </c>
      <c r="B3" s="19">
        <v>7</v>
      </c>
      <c r="C3" s="19">
        <v>47</v>
      </c>
      <c r="D3" s="19">
        <v>87</v>
      </c>
      <c r="E3" s="19" t="str">
        <f>LEFT(Table1[[#This Row],[Date]],10)</f>
        <v>2016-11-13</v>
      </c>
      <c r="F3" s="19" t="str">
        <f>RIGHT(Table1[[#This Row],[Date]], 2)</f>
        <v>22</v>
      </c>
      <c r="G3" s="19" t="str">
        <f>TEXT(Table1[[#This Row],[New Date]],"ddd")</f>
        <v>Sun</v>
      </c>
      <c r="H3" s="19">
        <f>Table1[[#This Row],[People saw +1 cars (unique)]]*Table1[[#This Row],[Coverage Ratio (unique)]]</f>
        <v>4089</v>
      </c>
    </row>
    <row r="4" spans="1:8" ht="15.5">
      <c r="A4" s="18" t="s">
        <v>35</v>
      </c>
      <c r="B4" s="19">
        <v>14</v>
      </c>
      <c r="C4" s="19">
        <v>44</v>
      </c>
      <c r="D4" s="19">
        <v>76</v>
      </c>
      <c r="E4" s="19" t="str">
        <f>LEFT(Table1[[#This Row],[Date]],10)</f>
        <v>2016-11-13</v>
      </c>
      <c r="F4" s="19" t="str">
        <f>RIGHT(Table1[[#This Row],[Date]], 2)</f>
        <v>21</v>
      </c>
      <c r="G4" s="19" t="str">
        <f>TEXT(Table1[[#This Row],[New Date]],"ddd")</f>
        <v>Sun</v>
      </c>
      <c r="H4" s="19">
        <f>Table1[[#This Row],[People saw +1 cars (unique)]]*Table1[[#This Row],[Coverage Ratio (unique)]]</f>
        <v>3344</v>
      </c>
    </row>
    <row r="5" spans="1:8" ht="15.5">
      <c r="A5" s="18" t="s">
        <v>36</v>
      </c>
      <c r="B5" s="19">
        <v>5</v>
      </c>
      <c r="C5" s="19">
        <v>40</v>
      </c>
      <c r="D5" s="19">
        <v>89</v>
      </c>
      <c r="E5" s="19" t="str">
        <f>LEFT(Table1[[#This Row],[Date]],10)</f>
        <v>2016-11-13</v>
      </c>
      <c r="F5" s="19" t="str">
        <f>RIGHT(Table1[[#This Row],[Date]], 2)</f>
        <v>20</v>
      </c>
      <c r="G5" s="19" t="str">
        <f>TEXT(Table1[[#This Row],[New Date]],"ddd")</f>
        <v>Sun</v>
      </c>
      <c r="H5" s="19">
        <f>Table1[[#This Row],[People saw +1 cars (unique)]]*Table1[[#This Row],[Coverage Ratio (unique)]]</f>
        <v>3560</v>
      </c>
    </row>
    <row r="6" spans="1:8" ht="15.5">
      <c r="A6" s="18" t="s">
        <v>37</v>
      </c>
      <c r="B6" s="19">
        <v>7</v>
      </c>
      <c r="C6" s="19">
        <v>37</v>
      </c>
      <c r="D6" s="19">
        <v>84</v>
      </c>
      <c r="E6" s="19" t="str">
        <f>LEFT(Table1[[#This Row],[Date]],10)</f>
        <v>2016-11-13</v>
      </c>
      <c r="F6" s="19" t="str">
        <f>RIGHT(Table1[[#This Row],[Date]], 2)</f>
        <v>19</v>
      </c>
      <c r="G6" s="19" t="str">
        <f>TEXT(Table1[[#This Row],[New Date]],"ddd")</f>
        <v>Sun</v>
      </c>
      <c r="H6" s="19">
        <f>Table1[[#This Row],[People saw +1 cars (unique)]]*Table1[[#This Row],[Coverage Ratio (unique)]]</f>
        <v>3108</v>
      </c>
    </row>
    <row r="7" spans="1:8" ht="15.5">
      <c r="A7" s="18" t="s">
        <v>38</v>
      </c>
      <c r="B7" s="19">
        <v>8</v>
      </c>
      <c r="C7" s="19">
        <v>44</v>
      </c>
      <c r="D7" s="19">
        <v>85</v>
      </c>
      <c r="E7" s="19" t="str">
        <f>LEFT(Table1[[#This Row],[Date]],10)</f>
        <v>2016-11-13</v>
      </c>
      <c r="F7" s="19" t="str">
        <f>RIGHT(Table1[[#This Row],[Date]], 2)</f>
        <v>18</v>
      </c>
      <c r="G7" s="19" t="str">
        <f>TEXT(Table1[[#This Row],[New Date]],"ddd")</f>
        <v>Sun</v>
      </c>
      <c r="H7" s="19">
        <f>Table1[[#This Row],[People saw +1 cars (unique)]]*Table1[[#This Row],[Coverage Ratio (unique)]]</f>
        <v>3740</v>
      </c>
    </row>
    <row r="8" spans="1:8" ht="15.5">
      <c r="A8" s="18" t="s">
        <v>39</v>
      </c>
      <c r="B8" s="19">
        <v>13</v>
      </c>
      <c r="C8" s="19">
        <v>27</v>
      </c>
      <c r="D8" s="19">
        <v>68</v>
      </c>
      <c r="E8" s="19" t="str">
        <f>LEFT(Table1[[#This Row],[Date]],10)</f>
        <v>2016-11-13</v>
      </c>
      <c r="F8" s="19" t="str">
        <f>RIGHT(Table1[[#This Row],[Date]], 2)</f>
        <v>17</v>
      </c>
      <c r="G8" s="19" t="str">
        <f>TEXT(Table1[[#This Row],[New Date]],"ddd")</f>
        <v>Sun</v>
      </c>
      <c r="H8" s="19">
        <f>Table1[[#This Row],[People saw +1 cars (unique)]]*Table1[[#This Row],[Coverage Ratio (unique)]]</f>
        <v>1836</v>
      </c>
    </row>
    <row r="9" spans="1:8" ht="15.5">
      <c r="A9" s="18" t="s">
        <v>40</v>
      </c>
      <c r="B9" s="19">
        <v>9</v>
      </c>
      <c r="C9" s="19">
        <v>39</v>
      </c>
      <c r="D9" s="19">
        <v>81</v>
      </c>
      <c r="E9" s="19" t="str">
        <f>LEFT(Table1[[#This Row],[Date]],10)</f>
        <v>2016-11-13</v>
      </c>
      <c r="F9" s="19" t="str">
        <f>RIGHT(Table1[[#This Row],[Date]], 2)</f>
        <v>16</v>
      </c>
      <c r="G9" s="19" t="str">
        <f>TEXT(Table1[[#This Row],[New Date]],"ddd")</f>
        <v>Sun</v>
      </c>
      <c r="H9" s="19">
        <f>Table1[[#This Row],[People saw +1 cars (unique)]]*Table1[[#This Row],[Coverage Ratio (unique)]]</f>
        <v>3159</v>
      </c>
    </row>
    <row r="10" spans="1:8" ht="15.5">
      <c r="A10" s="18" t="s">
        <v>41</v>
      </c>
      <c r="B10" s="19">
        <v>7</v>
      </c>
      <c r="C10" s="19">
        <v>31</v>
      </c>
      <c r="D10" s="19">
        <v>82</v>
      </c>
      <c r="E10" s="19" t="str">
        <f>LEFT(Table1[[#This Row],[Date]],10)</f>
        <v>2016-11-13</v>
      </c>
      <c r="F10" s="19" t="str">
        <f>RIGHT(Table1[[#This Row],[Date]], 2)</f>
        <v>15</v>
      </c>
      <c r="G10" s="19" t="str">
        <f>TEXT(Table1[[#This Row],[New Date]],"ddd")</f>
        <v>Sun</v>
      </c>
      <c r="H10" s="19">
        <f>Table1[[#This Row],[People saw +1 cars (unique)]]*Table1[[#This Row],[Coverage Ratio (unique)]]</f>
        <v>2542</v>
      </c>
    </row>
    <row r="11" spans="1:8" ht="15.5">
      <c r="A11" s="18" t="s">
        <v>42</v>
      </c>
      <c r="B11" s="19">
        <v>14</v>
      </c>
      <c r="C11" s="19">
        <v>31</v>
      </c>
      <c r="D11" s="19">
        <v>69</v>
      </c>
      <c r="E11" s="19" t="str">
        <f>LEFT(Table1[[#This Row],[Date]],10)</f>
        <v>2016-11-13</v>
      </c>
      <c r="F11" s="19" t="str">
        <f>RIGHT(Table1[[#This Row],[Date]], 2)</f>
        <v>14</v>
      </c>
      <c r="G11" s="19" t="str">
        <f>TEXT(Table1[[#This Row],[New Date]],"ddd")</f>
        <v>Sun</v>
      </c>
      <c r="H11" s="19">
        <f>Table1[[#This Row],[People saw +1 cars (unique)]]*Table1[[#This Row],[Coverage Ratio (unique)]]</f>
        <v>2139</v>
      </c>
    </row>
    <row r="12" spans="1:8" ht="15.5">
      <c r="A12" s="18" t="s">
        <v>43</v>
      </c>
      <c r="B12" s="19">
        <v>14</v>
      </c>
      <c r="C12" s="19">
        <v>33</v>
      </c>
      <c r="D12" s="19">
        <v>70</v>
      </c>
      <c r="E12" s="19" t="str">
        <f>LEFT(Table1[[#This Row],[Date]],10)</f>
        <v>2016-11-13</v>
      </c>
      <c r="F12" s="19" t="str">
        <f>RIGHT(Table1[[#This Row],[Date]], 2)</f>
        <v>13</v>
      </c>
      <c r="G12" s="19" t="str">
        <f>TEXT(Table1[[#This Row],[New Date]],"ddd")</f>
        <v>Sun</v>
      </c>
      <c r="H12" s="19">
        <f>Table1[[#This Row],[People saw +1 cars (unique)]]*Table1[[#This Row],[Coverage Ratio (unique)]]</f>
        <v>2310</v>
      </c>
    </row>
    <row r="13" spans="1:8" ht="15.5">
      <c r="A13" s="18" t="s">
        <v>44</v>
      </c>
      <c r="B13" s="19">
        <v>10</v>
      </c>
      <c r="C13" s="19">
        <v>25</v>
      </c>
      <c r="D13" s="19">
        <v>71</v>
      </c>
      <c r="E13" s="19" t="str">
        <f>LEFT(Table1[[#This Row],[Date]],10)</f>
        <v>2016-11-13</v>
      </c>
      <c r="F13" s="19" t="str">
        <f>RIGHT(Table1[[#This Row],[Date]], 2)</f>
        <v>12</v>
      </c>
      <c r="G13" s="19" t="str">
        <f>TEXT(Table1[[#This Row],[New Date]],"ddd")</f>
        <v>Sun</v>
      </c>
      <c r="H13" s="19">
        <f>Table1[[#This Row],[People saw +1 cars (unique)]]*Table1[[#This Row],[Coverage Ratio (unique)]]</f>
        <v>1775</v>
      </c>
    </row>
    <row r="14" spans="1:8" ht="15.5">
      <c r="A14" s="18" t="s">
        <v>45</v>
      </c>
      <c r="B14" s="19">
        <v>5</v>
      </c>
      <c r="C14" s="19">
        <v>28</v>
      </c>
      <c r="D14" s="19">
        <v>85</v>
      </c>
      <c r="E14" s="19" t="str">
        <f>LEFT(Table1[[#This Row],[Date]],10)</f>
        <v>2016-11-13</v>
      </c>
      <c r="F14" s="19" t="str">
        <f>RIGHT(Table1[[#This Row],[Date]], 2)</f>
        <v>11</v>
      </c>
      <c r="G14" s="19" t="str">
        <f>TEXT(Table1[[#This Row],[New Date]],"ddd")</f>
        <v>Sun</v>
      </c>
      <c r="H14" s="19">
        <f>Table1[[#This Row],[People saw +1 cars (unique)]]*Table1[[#This Row],[Coverage Ratio (unique)]]</f>
        <v>2380</v>
      </c>
    </row>
    <row r="15" spans="1:8" ht="15.5">
      <c r="A15" s="18" t="s">
        <v>46</v>
      </c>
      <c r="B15" s="19">
        <v>16</v>
      </c>
      <c r="C15" s="19">
        <v>19</v>
      </c>
      <c r="D15" s="19">
        <v>54</v>
      </c>
      <c r="E15" s="19" t="str">
        <f>LEFT(Table1[[#This Row],[Date]],10)</f>
        <v>2016-11-13</v>
      </c>
      <c r="F15" s="19" t="str">
        <f>RIGHT(Table1[[#This Row],[Date]], 2)</f>
        <v>10</v>
      </c>
      <c r="G15" s="19" t="str">
        <f>TEXT(Table1[[#This Row],[New Date]],"ddd")</f>
        <v>Sun</v>
      </c>
      <c r="H15" s="19">
        <f>Table1[[#This Row],[People saw +1 cars (unique)]]*Table1[[#This Row],[Coverage Ratio (unique)]]</f>
        <v>1026</v>
      </c>
    </row>
    <row r="16" spans="1:8" ht="15.5">
      <c r="A16" s="18" t="s">
        <v>47</v>
      </c>
      <c r="B16" s="19">
        <v>13</v>
      </c>
      <c r="C16" s="19">
        <v>19</v>
      </c>
      <c r="D16" s="19">
        <v>59</v>
      </c>
      <c r="E16" s="19" t="str">
        <f>LEFT(Table1[[#This Row],[Date]],10)</f>
        <v>2016-11-13</v>
      </c>
      <c r="F16" s="19" t="str">
        <f>RIGHT(Table1[[#This Row],[Date]], 2)</f>
        <v>09</v>
      </c>
      <c r="G16" s="19" t="str">
        <f>TEXT(Table1[[#This Row],[New Date]],"ddd")</f>
        <v>Sun</v>
      </c>
      <c r="H16" s="19">
        <f>Table1[[#This Row],[People saw +1 cars (unique)]]*Table1[[#This Row],[Coverage Ratio (unique)]]</f>
        <v>1121</v>
      </c>
    </row>
    <row r="17" spans="1:8" ht="15.5">
      <c r="A17" s="18" t="s">
        <v>48</v>
      </c>
      <c r="B17" s="19">
        <v>4</v>
      </c>
      <c r="C17" s="19">
        <v>15</v>
      </c>
      <c r="D17" s="19">
        <v>79</v>
      </c>
      <c r="E17" s="19" t="str">
        <f>LEFT(Table1[[#This Row],[Date]],10)</f>
        <v>2016-11-13</v>
      </c>
      <c r="F17" s="19" t="str">
        <f>RIGHT(Table1[[#This Row],[Date]], 2)</f>
        <v>08</v>
      </c>
      <c r="G17" s="19" t="str">
        <f>TEXT(Table1[[#This Row],[New Date]],"ddd")</f>
        <v>Sun</v>
      </c>
      <c r="H17" s="19">
        <f>Table1[[#This Row],[People saw +1 cars (unique)]]*Table1[[#This Row],[Coverage Ratio (unique)]]</f>
        <v>1185</v>
      </c>
    </row>
    <row r="18" spans="1:8" ht="15.5">
      <c r="A18" s="18" t="s">
        <v>49</v>
      </c>
      <c r="B18" s="19">
        <v>5</v>
      </c>
      <c r="C18" s="19">
        <v>12</v>
      </c>
      <c r="D18" s="19">
        <v>71</v>
      </c>
      <c r="E18" s="19" t="str">
        <f>LEFT(Table1[[#This Row],[Date]],10)</f>
        <v>2016-11-13</v>
      </c>
      <c r="F18" s="19" t="str">
        <f>RIGHT(Table1[[#This Row],[Date]], 2)</f>
        <v>07</v>
      </c>
      <c r="G18" s="19" t="str">
        <f>TEXT(Table1[[#This Row],[New Date]],"ddd")</f>
        <v>Sun</v>
      </c>
      <c r="H18" s="19">
        <f>Table1[[#This Row],[People saw +1 cars (unique)]]*Table1[[#This Row],[Coverage Ratio (unique)]]</f>
        <v>852</v>
      </c>
    </row>
    <row r="19" spans="1:8" ht="15.5">
      <c r="A19" s="18" t="s">
        <v>50</v>
      </c>
      <c r="B19" s="19">
        <v>3</v>
      </c>
      <c r="C19" s="19">
        <v>12</v>
      </c>
      <c r="D19" s="19">
        <v>80</v>
      </c>
      <c r="E19" s="19" t="str">
        <f>LEFT(Table1[[#This Row],[Date]],10)</f>
        <v>2016-11-13</v>
      </c>
      <c r="F19" s="19" t="str">
        <f>RIGHT(Table1[[#This Row],[Date]], 2)</f>
        <v>06</v>
      </c>
      <c r="G19" s="19" t="str">
        <f>TEXT(Table1[[#This Row],[New Date]],"ddd")</f>
        <v>Sun</v>
      </c>
      <c r="H19" s="19">
        <f>Table1[[#This Row],[People saw +1 cars (unique)]]*Table1[[#This Row],[Coverage Ratio (unique)]]</f>
        <v>960</v>
      </c>
    </row>
    <row r="20" spans="1:8" ht="15.5">
      <c r="A20" s="18" t="s">
        <v>51</v>
      </c>
      <c r="B20" s="19">
        <v>4</v>
      </c>
      <c r="C20" s="19">
        <v>22</v>
      </c>
      <c r="D20" s="19">
        <v>85</v>
      </c>
      <c r="E20" s="19" t="str">
        <f>LEFT(Table1[[#This Row],[Date]],10)</f>
        <v>2016-11-13</v>
      </c>
      <c r="F20" s="19" t="str">
        <f>RIGHT(Table1[[#This Row],[Date]], 2)</f>
        <v>05</v>
      </c>
      <c r="G20" s="19" t="str">
        <f>TEXT(Table1[[#This Row],[New Date]],"ddd")</f>
        <v>Sun</v>
      </c>
      <c r="H20" s="19">
        <f>Table1[[#This Row],[People saw +1 cars (unique)]]*Table1[[#This Row],[Coverage Ratio (unique)]]</f>
        <v>1870</v>
      </c>
    </row>
    <row r="21" spans="1:8" ht="15.75" customHeight="1">
      <c r="A21" s="18" t="s">
        <v>52</v>
      </c>
      <c r="B21" s="19">
        <v>28</v>
      </c>
      <c r="C21" s="19">
        <v>23</v>
      </c>
      <c r="D21" s="19">
        <v>45</v>
      </c>
      <c r="E21" s="19" t="str">
        <f>LEFT(Table1[[#This Row],[Date]],10)</f>
        <v>2016-11-13</v>
      </c>
      <c r="F21" s="19" t="str">
        <f>RIGHT(Table1[[#This Row],[Date]], 2)</f>
        <v>04</v>
      </c>
      <c r="G21" s="19" t="str">
        <f>TEXT(Table1[[#This Row],[New Date]],"ddd")</f>
        <v>Sun</v>
      </c>
      <c r="H21" s="19">
        <f>Table1[[#This Row],[People saw +1 cars (unique)]]*Table1[[#This Row],[Coverage Ratio (unique)]]</f>
        <v>1035</v>
      </c>
    </row>
    <row r="22" spans="1:8" ht="15.75" customHeight="1">
      <c r="A22" s="18" t="s">
        <v>53</v>
      </c>
      <c r="B22" s="19">
        <v>19</v>
      </c>
      <c r="C22" s="19">
        <v>38</v>
      </c>
      <c r="D22" s="19">
        <v>67</v>
      </c>
      <c r="E22" s="19" t="str">
        <f>LEFT(Table1[[#This Row],[Date]],10)</f>
        <v>2016-11-13</v>
      </c>
      <c r="F22" s="19" t="str">
        <f>RIGHT(Table1[[#This Row],[Date]], 2)</f>
        <v>03</v>
      </c>
      <c r="G22" s="19" t="str">
        <f>TEXT(Table1[[#This Row],[New Date]],"ddd")</f>
        <v>Sun</v>
      </c>
      <c r="H22" s="19">
        <f>Table1[[#This Row],[People saw +1 cars (unique)]]*Table1[[#This Row],[Coverage Ratio (unique)]]</f>
        <v>2546</v>
      </c>
    </row>
    <row r="23" spans="1:8" ht="15.75" customHeight="1">
      <c r="A23" s="18" t="s">
        <v>54</v>
      </c>
      <c r="B23" s="19">
        <v>13</v>
      </c>
      <c r="C23" s="19">
        <v>48</v>
      </c>
      <c r="D23" s="19">
        <v>79</v>
      </c>
      <c r="E23" s="19" t="str">
        <f>LEFT(Table1[[#This Row],[Date]],10)</f>
        <v>2016-11-13</v>
      </c>
      <c r="F23" s="19" t="str">
        <f>RIGHT(Table1[[#This Row],[Date]], 2)</f>
        <v>02</v>
      </c>
      <c r="G23" s="19" t="str">
        <f>TEXT(Table1[[#This Row],[New Date]],"ddd")</f>
        <v>Sun</v>
      </c>
      <c r="H23" s="19">
        <f>Table1[[#This Row],[People saw +1 cars (unique)]]*Table1[[#This Row],[Coverage Ratio (unique)]]</f>
        <v>3792</v>
      </c>
    </row>
    <row r="24" spans="1:8" ht="15.75" customHeight="1">
      <c r="A24" s="18" t="s">
        <v>55</v>
      </c>
      <c r="B24" s="19">
        <v>7</v>
      </c>
      <c r="C24" s="19">
        <v>37</v>
      </c>
      <c r="D24" s="19">
        <v>84</v>
      </c>
      <c r="E24" s="19" t="str">
        <f>LEFT(Table1[[#This Row],[Date]],10)</f>
        <v>2016-11-13</v>
      </c>
      <c r="F24" s="19" t="str">
        <f>RIGHT(Table1[[#This Row],[Date]], 2)</f>
        <v>01</v>
      </c>
      <c r="G24" s="19" t="str">
        <f>TEXT(Table1[[#This Row],[New Date]],"ddd")</f>
        <v>Sun</v>
      </c>
      <c r="H24" s="19">
        <f>Table1[[#This Row],[People saw +1 cars (unique)]]*Table1[[#This Row],[Coverage Ratio (unique)]]</f>
        <v>3108</v>
      </c>
    </row>
    <row r="25" spans="1:8" ht="15.75" customHeight="1">
      <c r="A25" s="18" t="s">
        <v>56</v>
      </c>
      <c r="B25" s="19">
        <v>18</v>
      </c>
      <c r="C25" s="19">
        <v>66</v>
      </c>
      <c r="D25" s="19">
        <v>79</v>
      </c>
      <c r="E25" s="19" t="str">
        <f>LEFT(Table1[[#This Row],[Date]],10)</f>
        <v>2016-11-13</v>
      </c>
      <c r="F25" s="19" t="str">
        <f>RIGHT(Table1[[#This Row],[Date]], 2)</f>
        <v>00</v>
      </c>
      <c r="G25" s="19" t="str">
        <f>TEXT(Table1[[#This Row],[New Date]],"ddd")</f>
        <v>Sun</v>
      </c>
      <c r="H25" s="19">
        <f>Table1[[#This Row],[People saw +1 cars (unique)]]*Table1[[#This Row],[Coverage Ratio (unique)]]</f>
        <v>5214</v>
      </c>
    </row>
    <row r="26" spans="1:8" ht="15.75" customHeight="1">
      <c r="A26" s="18" t="s">
        <v>57</v>
      </c>
      <c r="B26" s="19">
        <v>29</v>
      </c>
      <c r="C26" s="19">
        <v>81</v>
      </c>
      <c r="D26" s="19">
        <v>74</v>
      </c>
      <c r="E26" s="19" t="str">
        <f>LEFT(Table1[[#This Row],[Date]],10)</f>
        <v>2016-11-12</v>
      </c>
      <c r="F26" s="19" t="str">
        <f>RIGHT(Table1[[#This Row],[Date]], 2)</f>
        <v>23</v>
      </c>
      <c r="G26" s="19" t="str">
        <f>TEXT(Table1[[#This Row],[New Date]],"ddd")</f>
        <v>Sat</v>
      </c>
      <c r="H26" s="19">
        <f>Table1[[#This Row],[People saw +1 cars (unique)]]*Table1[[#This Row],[Coverage Ratio (unique)]]</f>
        <v>5994</v>
      </c>
    </row>
    <row r="27" spans="1:8" ht="15.75" customHeight="1">
      <c r="A27" s="18" t="s">
        <v>58</v>
      </c>
      <c r="B27" s="19">
        <v>14</v>
      </c>
      <c r="C27" s="19">
        <v>58</v>
      </c>
      <c r="D27" s="19">
        <v>81</v>
      </c>
      <c r="E27" s="19" t="str">
        <f>LEFT(Table1[[#This Row],[Date]],10)</f>
        <v>2016-11-12</v>
      </c>
      <c r="F27" s="19" t="str">
        <f>RIGHT(Table1[[#This Row],[Date]], 2)</f>
        <v>22</v>
      </c>
      <c r="G27" s="19" t="str">
        <f>TEXT(Table1[[#This Row],[New Date]],"ddd")</f>
        <v>Sat</v>
      </c>
      <c r="H27" s="19">
        <f>Table1[[#This Row],[People saw +1 cars (unique)]]*Table1[[#This Row],[Coverage Ratio (unique)]]</f>
        <v>4698</v>
      </c>
    </row>
    <row r="28" spans="1:8" ht="15.75" customHeight="1">
      <c r="A28" s="18" t="s">
        <v>59</v>
      </c>
      <c r="B28" s="19">
        <v>5</v>
      </c>
      <c r="C28" s="19">
        <v>48</v>
      </c>
      <c r="D28" s="19">
        <v>91</v>
      </c>
      <c r="E28" s="19" t="str">
        <f>LEFT(Table1[[#This Row],[Date]],10)</f>
        <v>2016-11-12</v>
      </c>
      <c r="F28" s="19" t="str">
        <f>RIGHT(Table1[[#This Row],[Date]], 2)</f>
        <v>21</v>
      </c>
      <c r="G28" s="19" t="str">
        <f>TEXT(Table1[[#This Row],[New Date]],"ddd")</f>
        <v>Sat</v>
      </c>
      <c r="H28" s="19">
        <f>Table1[[#This Row],[People saw +1 cars (unique)]]*Table1[[#This Row],[Coverage Ratio (unique)]]</f>
        <v>4368</v>
      </c>
    </row>
    <row r="29" spans="1:8" ht="15.75" customHeight="1">
      <c r="A29" s="18" t="s">
        <v>60</v>
      </c>
      <c r="B29" s="19">
        <v>9</v>
      </c>
      <c r="C29" s="19">
        <v>34</v>
      </c>
      <c r="D29" s="19">
        <v>79</v>
      </c>
      <c r="E29" s="19" t="str">
        <f>LEFT(Table1[[#This Row],[Date]],10)</f>
        <v>2016-11-12</v>
      </c>
      <c r="F29" s="19" t="str">
        <f>RIGHT(Table1[[#This Row],[Date]], 2)</f>
        <v>20</v>
      </c>
      <c r="G29" s="19" t="str">
        <f>TEXT(Table1[[#This Row],[New Date]],"ddd")</f>
        <v>Sat</v>
      </c>
      <c r="H29" s="19">
        <f>Table1[[#This Row],[People saw +1 cars (unique)]]*Table1[[#This Row],[Coverage Ratio (unique)]]</f>
        <v>2686</v>
      </c>
    </row>
    <row r="30" spans="1:8" ht="15.75" customHeight="1">
      <c r="A30" s="18" t="s">
        <v>61</v>
      </c>
      <c r="B30" s="19">
        <v>11</v>
      </c>
      <c r="C30" s="19">
        <v>36</v>
      </c>
      <c r="D30" s="19">
        <v>77</v>
      </c>
      <c r="E30" s="19" t="str">
        <f>LEFT(Table1[[#This Row],[Date]],10)</f>
        <v>2016-11-12</v>
      </c>
      <c r="F30" s="19" t="str">
        <f>RIGHT(Table1[[#This Row],[Date]], 2)</f>
        <v>19</v>
      </c>
      <c r="G30" s="19" t="str">
        <f>TEXT(Table1[[#This Row],[New Date]],"ddd")</f>
        <v>Sat</v>
      </c>
      <c r="H30" s="19">
        <f>Table1[[#This Row],[People saw +1 cars (unique)]]*Table1[[#This Row],[Coverage Ratio (unique)]]</f>
        <v>2772</v>
      </c>
    </row>
    <row r="31" spans="1:8" ht="15.75" customHeight="1">
      <c r="A31" s="18" t="s">
        <v>62</v>
      </c>
      <c r="B31" s="19">
        <v>11</v>
      </c>
      <c r="C31" s="19">
        <v>44</v>
      </c>
      <c r="D31" s="19">
        <v>80</v>
      </c>
      <c r="E31" s="19" t="str">
        <f>LEFT(Table1[[#This Row],[Date]],10)</f>
        <v>2016-11-12</v>
      </c>
      <c r="F31" s="19" t="str">
        <f>RIGHT(Table1[[#This Row],[Date]], 2)</f>
        <v>18</v>
      </c>
      <c r="G31" s="19" t="str">
        <f>TEXT(Table1[[#This Row],[New Date]],"ddd")</f>
        <v>Sat</v>
      </c>
      <c r="H31" s="19">
        <f>Table1[[#This Row],[People saw +1 cars (unique)]]*Table1[[#This Row],[Coverage Ratio (unique)]]</f>
        <v>3520</v>
      </c>
    </row>
    <row r="32" spans="1:8" ht="15.75" customHeight="1">
      <c r="A32" s="18" t="s">
        <v>63</v>
      </c>
      <c r="B32" s="19">
        <v>9</v>
      </c>
      <c r="C32" s="19">
        <v>42</v>
      </c>
      <c r="D32" s="19">
        <v>82</v>
      </c>
      <c r="E32" s="19" t="str">
        <f>LEFT(Table1[[#This Row],[Date]],10)</f>
        <v>2016-11-12</v>
      </c>
      <c r="F32" s="19" t="str">
        <f>RIGHT(Table1[[#This Row],[Date]], 2)</f>
        <v>17</v>
      </c>
      <c r="G32" s="19" t="str">
        <f>TEXT(Table1[[#This Row],[New Date]],"ddd")</f>
        <v>Sat</v>
      </c>
      <c r="H32" s="19">
        <f>Table1[[#This Row],[People saw +1 cars (unique)]]*Table1[[#This Row],[Coverage Ratio (unique)]]</f>
        <v>3444</v>
      </c>
    </row>
    <row r="33" spans="1:8" ht="15.75" customHeight="1">
      <c r="A33" s="18" t="s">
        <v>64</v>
      </c>
      <c r="B33" s="19">
        <v>10</v>
      </c>
      <c r="C33" s="19">
        <v>31</v>
      </c>
      <c r="D33" s="19">
        <v>76</v>
      </c>
      <c r="E33" s="19" t="str">
        <f>LEFT(Table1[[#This Row],[Date]],10)</f>
        <v>2016-11-12</v>
      </c>
      <c r="F33" s="19" t="str">
        <f>RIGHT(Table1[[#This Row],[Date]], 2)</f>
        <v>16</v>
      </c>
      <c r="G33" s="19" t="str">
        <f>TEXT(Table1[[#This Row],[New Date]],"ddd")</f>
        <v>Sat</v>
      </c>
      <c r="H33" s="19">
        <f>Table1[[#This Row],[People saw +1 cars (unique)]]*Table1[[#This Row],[Coverage Ratio (unique)]]</f>
        <v>2356</v>
      </c>
    </row>
    <row r="34" spans="1:8" ht="15.75" customHeight="1">
      <c r="A34" s="18" t="s">
        <v>65</v>
      </c>
      <c r="B34" s="19">
        <v>2</v>
      </c>
      <c r="C34" s="19">
        <v>29</v>
      </c>
      <c r="D34" s="19">
        <v>94</v>
      </c>
      <c r="E34" s="19" t="str">
        <f>LEFT(Table1[[#This Row],[Date]],10)</f>
        <v>2016-11-12</v>
      </c>
      <c r="F34" s="19" t="str">
        <f>RIGHT(Table1[[#This Row],[Date]], 2)</f>
        <v>15</v>
      </c>
      <c r="G34" s="19" t="str">
        <f>TEXT(Table1[[#This Row],[New Date]],"ddd")</f>
        <v>Sat</v>
      </c>
      <c r="H34" s="19">
        <f>Table1[[#This Row],[People saw +1 cars (unique)]]*Table1[[#This Row],[Coverage Ratio (unique)]]</f>
        <v>2726</v>
      </c>
    </row>
    <row r="35" spans="1:8" ht="15.75" customHeight="1">
      <c r="A35" s="18" t="s">
        <v>66</v>
      </c>
      <c r="B35" s="19">
        <v>7</v>
      </c>
      <c r="C35" s="19">
        <v>31</v>
      </c>
      <c r="D35" s="19">
        <v>82</v>
      </c>
      <c r="E35" s="19" t="str">
        <f>LEFT(Table1[[#This Row],[Date]],10)</f>
        <v>2016-11-12</v>
      </c>
      <c r="F35" s="19" t="str">
        <f>RIGHT(Table1[[#This Row],[Date]], 2)</f>
        <v>14</v>
      </c>
      <c r="G35" s="19" t="str">
        <f>TEXT(Table1[[#This Row],[New Date]],"ddd")</f>
        <v>Sat</v>
      </c>
      <c r="H35" s="19">
        <f>Table1[[#This Row],[People saw +1 cars (unique)]]*Table1[[#This Row],[Coverage Ratio (unique)]]</f>
        <v>2542</v>
      </c>
    </row>
    <row r="36" spans="1:8" ht="15.75" customHeight="1">
      <c r="A36" s="18" t="s">
        <v>67</v>
      </c>
      <c r="B36" s="19">
        <v>16</v>
      </c>
      <c r="C36" s="19">
        <v>31</v>
      </c>
      <c r="D36" s="19">
        <v>66</v>
      </c>
      <c r="E36" s="19" t="str">
        <f>LEFT(Table1[[#This Row],[Date]],10)</f>
        <v>2016-11-12</v>
      </c>
      <c r="F36" s="19" t="str">
        <f>RIGHT(Table1[[#This Row],[Date]], 2)</f>
        <v>13</v>
      </c>
      <c r="G36" s="19" t="str">
        <f>TEXT(Table1[[#This Row],[New Date]],"ddd")</f>
        <v>Sat</v>
      </c>
      <c r="H36" s="19">
        <f>Table1[[#This Row],[People saw +1 cars (unique)]]*Table1[[#This Row],[Coverage Ratio (unique)]]</f>
        <v>2046</v>
      </c>
    </row>
    <row r="37" spans="1:8" ht="15.75" customHeight="1">
      <c r="A37" s="18" t="s">
        <v>68</v>
      </c>
      <c r="B37" s="19">
        <v>21</v>
      </c>
      <c r="C37" s="19">
        <v>23</v>
      </c>
      <c r="D37" s="19">
        <v>52</v>
      </c>
      <c r="E37" s="19" t="str">
        <f>LEFT(Table1[[#This Row],[Date]],10)</f>
        <v>2016-11-12</v>
      </c>
      <c r="F37" s="19" t="str">
        <f>RIGHT(Table1[[#This Row],[Date]], 2)</f>
        <v>12</v>
      </c>
      <c r="G37" s="19" t="str">
        <f>TEXT(Table1[[#This Row],[New Date]],"ddd")</f>
        <v>Sat</v>
      </c>
      <c r="H37" s="19">
        <f>Table1[[#This Row],[People saw +1 cars (unique)]]*Table1[[#This Row],[Coverage Ratio (unique)]]</f>
        <v>1196</v>
      </c>
    </row>
    <row r="38" spans="1:8" ht="15.75" customHeight="1">
      <c r="A38" s="18" t="s">
        <v>69</v>
      </c>
      <c r="B38" s="19">
        <v>18</v>
      </c>
      <c r="C38" s="19">
        <v>19</v>
      </c>
      <c r="D38" s="19">
        <v>51</v>
      </c>
      <c r="E38" s="19" t="str">
        <f>LEFT(Table1[[#This Row],[Date]],10)</f>
        <v>2016-11-12</v>
      </c>
      <c r="F38" s="19" t="str">
        <f>RIGHT(Table1[[#This Row],[Date]], 2)</f>
        <v>11</v>
      </c>
      <c r="G38" s="19" t="str">
        <f>TEXT(Table1[[#This Row],[New Date]],"ddd")</f>
        <v>Sat</v>
      </c>
      <c r="H38" s="19">
        <f>Table1[[#This Row],[People saw +1 cars (unique)]]*Table1[[#This Row],[Coverage Ratio (unique)]]</f>
        <v>969</v>
      </c>
    </row>
    <row r="39" spans="1:8" ht="15.75" customHeight="1">
      <c r="A39" s="18" t="s">
        <v>70</v>
      </c>
      <c r="B39" s="19">
        <v>12</v>
      </c>
      <c r="C39" s="19">
        <v>23</v>
      </c>
      <c r="D39" s="19">
        <v>66</v>
      </c>
      <c r="E39" s="19" t="str">
        <f>LEFT(Table1[[#This Row],[Date]],10)</f>
        <v>2016-11-12</v>
      </c>
      <c r="F39" s="19" t="str">
        <f>RIGHT(Table1[[#This Row],[Date]], 2)</f>
        <v>10</v>
      </c>
      <c r="G39" s="19" t="str">
        <f>TEXT(Table1[[#This Row],[New Date]],"ddd")</f>
        <v>Sat</v>
      </c>
      <c r="H39" s="19">
        <f>Table1[[#This Row],[People saw +1 cars (unique)]]*Table1[[#This Row],[Coverage Ratio (unique)]]</f>
        <v>1518</v>
      </c>
    </row>
    <row r="40" spans="1:8" ht="15.75" customHeight="1">
      <c r="A40" s="18" t="s">
        <v>71</v>
      </c>
      <c r="B40" s="19">
        <v>5</v>
      </c>
      <c r="C40" s="19">
        <v>19</v>
      </c>
      <c r="D40" s="19">
        <v>79</v>
      </c>
      <c r="E40" s="19" t="str">
        <f>LEFT(Table1[[#This Row],[Date]],10)</f>
        <v>2016-11-12</v>
      </c>
      <c r="F40" s="19" t="str">
        <f>RIGHT(Table1[[#This Row],[Date]], 2)</f>
        <v>09</v>
      </c>
      <c r="G40" s="19" t="str">
        <f>TEXT(Table1[[#This Row],[New Date]],"ddd")</f>
        <v>Sat</v>
      </c>
      <c r="H40" s="19">
        <f>Table1[[#This Row],[People saw +1 cars (unique)]]*Table1[[#This Row],[Coverage Ratio (unique)]]</f>
        <v>1501</v>
      </c>
    </row>
    <row r="41" spans="1:8" ht="15.75" customHeight="1">
      <c r="A41" s="18" t="s">
        <v>72</v>
      </c>
      <c r="B41" s="19">
        <v>12</v>
      </c>
      <c r="C41" s="19">
        <v>17</v>
      </c>
      <c r="D41" s="19">
        <v>59</v>
      </c>
      <c r="E41" s="19" t="str">
        <f>LEFT(Table1[[#This Row],[Date]],10)</f>
        <v>2016-11-12</v>
      </c>
      <c r="F41" s="19" t="str">
        <f>RIGHT(Table1[[#This Row],[Date]], 2)</f>
        <v>08</v>
      </c>
      <c r="G41" s="19" t="str">
        <f>TEXT(Table1[[#This Row],[New Date]],"ddd")</f>
        <v>Sat</v>
      </c>
      <c r="H41" s="19">
        <f>Table1[[#This Row],[People saw +1 cars (unique)]]*Table1[[#This Row],[Coverage Ratio (unique)]]</f>
        <v>1003</v>
      </c>
    </row>
    <row r="42" spans="1:8" ht="15.75" customHeight="1">
      <c r="A42" s="18" t="s">
        <v>73</v>
      </c>
      <c r="B42" s="19">
        <v>4</v>
      </c>
      <c r="C42" s="19">
        <v>14</v>
      </c>
      <c r="D42" s="19">
        <v>78</v>
      </c>
      <c r="E42" s="19" t="str">
        <f>LEFT(Table1[[#This Row],[Date]],10)</f>
        <v>2016-11-12</v>
      </c>
      <c r="F42" s="19" t="str">
        <f>RIGHT(Table1[[#This Row],[Date]], 2)</f>
        <v>07</v>
      </c>
      <c r="G42" s="19" t="str">
        <f>TEXT(Table1[[#This Row],[New Date]],"ddd")</f>
        <v>Sat</v>
      </c>
      <c r="H42" s="19">
        <f>Table1[[#This Row],[People saw +1 cars (unique)]]*Table1[[#This Row],[Coverage Ratio (unique)]]</f>
        <v>1092</v>
      </c>
    </row>
    <row r="43" spans="1:8" ht="15.75" customHeight="1">
      <c r="A43" s="18" t="s">
        <v>74</v>
      </c>
      <c r="B43" s="19">
        <v>2</v>
      </c>
      <c r="C43" s="19">
        <v>10</v>
      </c>
      <c r="D43" s="19">
        <v>83</v>
      </c>
      <c r="E43" s="19" t="str">
        <f>LEFT(Table1[[#This Row],[Date]],10)</f>
        <v>2016-11-12</v>
      </c>
      <c r="F43" s="19" t="str">
        <f>RIGHT(Table1[[#This Row],[Date]], 2)</f>
        <v>06</v>
      </c>
      <c r="G43" s="19" t="str">
        <f>TEXT(Table1[[#This Row],[New Date]],"ddd")</f>
        <v>Sat</v>
      </c>
      <c r="H43" s="19">
        <f>Table1[[#This Row],[People saw +1 cars (unique)]]*Table1[[#This Row],[Coverage Ratio (unique)]]</f>
        <v>830</v>
      </c>
    </row>
    <row r="44" spans="1:8" ht="15.75" customHeight="1">
      <c r="A44" s="18" t="s">
        <v>75</v>
      </c>
      <c r="B44" s="19">
        <v>6</v>
      </c>
      <c r="C44" s="19">
        <v>20</v>
      </c>
      <c r="D44" s="19">
        <v>77</v>
      </c>
      <c r="E44" s="19" t="str">
        <f>LEFT(Table1[[#This Row],[Date]],10)</f>
        <v>2016-11-12</v>
      </c>
      <c r="F44" s="19" t="str">
        <f>RIGHT(Table1[[#This Row],[Date]], 2)</f>
        <v>05</v>
      </c>
      <c r="G44" s="19" t="str">
        <f>TEXT(Table1[[#This Row],[New Date]],"ddd")</f>
        <v>Sat</v>
      </c>
      <c r="H44" s="19">
        <f>Table1[[#This Row],[People saw +1 cars (unique)]]*Table1[[#This Row],[Coverage Ratio (unique)]]</f>
        <v>1540</v>
      </c>
    </row>
    <row r="45" spans="1:8" ht="15.75" customHeight="1">
      <c r="A45" s="18" t="s">
        <v>76</v>
      </c>
      <c r="B45" s="19">
        <v>14</v>
      </c>
      <c r="C45" s="19">
        <v>17</v>
      </c>
      <c r="D45" s="19">
        <v>55</v>
      </c>
      <c r="E45" s="19" t="str">
        <f>LEFT(Table1[[#This Row],[Date]],10)</f>
        <v>2016-11-12</v>
      </c>
      <c r="F45" s="19" t="str">
        <f>RIGHT(Table1[[#This Row],[Date]], 2)</f>
        <v>04</v>
      </c>
      <c r="G45" s="19" t="str">
        <f>TEXT(Table1[[#This Row],[New Date]],"ddd")</f>
        <v>Sat</v>
      </c>
      <c r="H45" s="19">
        <f>Table1[[#This Row],[People saw +1 cars (unique)]]*Table1[[#This Row],[Coverage Ratio (unique)]]</f>
        <v>935</v>
      </c>
    </row>
    <row r="46" spans="1:8" ht="15.75" customHeight="1">
      <c r="A46" s="18" t="s">
        <v>77</v>
      </c>
      <c r="B46" s="19">
        <v>12</v>
      </c>
      <c r="C46" s="19">
        <v>28</v>
      </c>
      <c r="D46" s="19">
        <v>70</v>
      </c>
      <c r="E46" s="19" t="str">
        <f>LEFT(Table1[[#This Row],[Date]],10)</f>
        <v>2016-11-12</v>
      </c>
      <c r="F46" s="19" t="str">
        <f>RIGHT(Table1[[#This Row],[Date]], 2)</f>
        <v>03</v>
      </c>
      <c r="G46" s="19" t="str">
        <f>TEXT(Table1[[#This Row],[New Date]],"ddd")</f>
        <v>Sat</v>
      </c>
      <c r="H46" s="19">
        <f>Table1[[#This Row],[People saw +1 cars (unique)]]*Table1[[#This Row],[Coverage Ratio (unique)]]</f>
        <v>1960</v>
      </c>
    </row>
    <row r="47" spans="1:8" ht="15.75" customHeight="1">
      <c r="A47" s="18" t="s">
        <v>78</v>
      </c>
      <c r="B47" s="19">
        <v>2</v>
      </c>
      <c r="C47" s="19">
        <v>31</v>
      </c>
      <c r="D47" s="19">
        <v>94</v>
      </c>
      <c r="E47" s="19" t="str">
        <f>LEFT(Table1[[#This Row],[Date]],10)</f>
        <v>2016-11-12</v>
      </c>
      <c r="F47" s="19" t="str">
        <f>RIGHT(Table1[[#This Row],[Date]], 2)</f>
        <v>02</v>
      </c>
      <c r="G47" s="19" t="str">
        <f>TEXT(Table1[[#This Row],[New Date]],"ddd")</f>
        <v>Sat</v>
      </c>
      <c r="H47" s="19">
        <f>Table1[[#This Row],[People saw +1 cars (unique)]]*Table1[[#This Row],[Coverage Ratio (unique)]]</f>
        <v>2914</v>
      </c>
    </row>
    <row r="48" spans="1:8" ht="15.75" customHeight="1">
      <c r="A48" s="18" t="s">
        <v>79</v>
      </c>
      <c r="B48" s="19">
        <v>6</v>
      </c>
      <c r="C48" s="19">
        <v>55</v>
      </c>
      <c r="D48" s="19">
        <v>90</v>
      </c>
      <c r="E48" s="19" t="str">
        <f>LEFT(Table1[[#This Row],[Date]],10)</f>
        <v>2016-11-12</v>
      </c>
      <c r="F48" s="19" t="str">
        <f>RIGHT(Table1[[#This Row],[Date]], 2)</f>
        <v>01</v>
      </c>
      <c r="G48" s="19" t="str">
        <f>TEXT(Table1[[#This Row],[New Date]],"ddd")</f>
        <v>Sat</v>
      </c>
      <c r="H48" s="19">
        <f>Table1[[#This Row],[People saw +1 cars (unique)]]*Table1[[#This Row],[Coverage Ratio (unique)]]</f>
        <v>4950</v>
      </c>
    </row>
    <row r="49" spans="1:8" ht="15.75" customHeight="1">
      <c r="A49" s="18" t="s">
        <v>80</v>
      </c>
      <c r="B49" s="19">
        <v>70</v>
      </c>
      <c r="C49" s="19">
        <v>94</v>
      </c>
      <c r="D49" s="19">
        <v>57</v>
      </c>
      <c r="E49" s="19" t="str">
        <f>LEFT(Table1[[#This Row],[Date]],10)</f>
        <v>2016-11-12</v>
      </c>
      <c r="F49" s="19" t="str">
        <f>RIGHT(Table1[[#This Row],[Date]], 2)</f>
        <v>00</v>
      </c>
      <c r="G49" s="19" t="str">
        <f>TEXT(Table1[[#This Row],[New Date]],"ddd")</f>
        <v>Sat</v>
      </c>
      <c r="H49" s="19">
        <f>Table1[[#This Row],[People saw +1 cars (unique)]]*Table1[[#This Row],[Coverage Ratio (unique)]]</f>
        <v>5358</v>
      </c>
    </row>
    <row r="50" spans="1:8" ht="15.75" customHeight="1">
      <c r="A50" s="18" t="s">
        <v>81</v>
      </c>
      <c r="B50" s="19">
        <v>33</v>
      </c>
      <c r="C50" s="19">
        <v>85</v>
      </c>
      <c r="D50" s="19">
        <v>72</v>
      </c>
      <c r="E50" s="19" t="str">
        <f>LEFT(Table1[[#This Row],[Date]],10)</f>
        <v>2016-11-11</v>
      </c>
      <c r="F50" s="19" t="str">
        <f>RIGHT(Table1[[#This Row],[Date]], 2)</f>
        <v>23</v>
      </c>
      <c r="G50" s="19" t="str">
        <f>TEXT(Table1[[#This Row],[New Date]],"ddd")</f>
        <v>Fri</v>
      </c>
      <c r="H50" s="19">
        <f>Table1[[#This Row],[People saw +1 cars (unique)]]*Table1[[#This Row],[Coverage Ratio (unique)]]</f>
        <v>6120</v>
      </c>
    </row>
    <row r="51" spans="1:8" ht="15.75" customHeight="1">
      <c r="A51" s="18" t="s">
        <v>82</v>
      </c>
      <c r="B51" s="19">
        <v>6</v>
      </c>
      <c r="C51" s="19">
        <v>47</v>
      </c>
      <c r="D51" s="19">
        <v>89</v>
      </c>
      <c r="E51" s="19" t="str">
        <f>LEFT(Table1[[#This Row],[Date]],10)</f>
        <v>2016-11-11</v>
      </c>
      <c r="F51" s="19" t="str">
        <f>RIGHT(Table1[[#This Row],[Date]], 2)</f>
        <v>22</v>
      </c>
      <c r="G51" s="19" t="str">
        <f>TEXT(Table1[[#This Row],[New Date]],"ddd")</f>
        <v>Fri</v>
      </c>
      <c r="H51" s="19">
        <f>Table1[[#This Row],[People saw +1 cars (unique)]]*Table1[[#This Row],[Coverage Ratio (unique)]]</f>
        <v>4183</v>
      </c>
    </row>
    <row r="52" spans="1:8" ht="15.75" customHeight="1">
      <c r="A52" s="18" t="s">
        <v>83</v>
      </c>
      <c r="B52" s="19">
        <v>17</v>
      </c>
      <c r="C52" s="19">
        <v>52</v>
      </c>
      <c r="D52" s="19">
        <v>75</v>
      </c>
      <c r="E52" s="19" t="str">
        <f>LEFT(Table1[[#This Row],[Date]],10)</f>
        <v>2016-11-11</v>
      </c>
      <c r="F52" s="19" t="str">
        <f>RIGHT(Table1[[#This Row],[Date]], 2)</f>
        <v>21</v>
      </c>
      <c r="G52" s="19" t="str">
        <f>TEXT(Table1[[#This Row],[New Date]],"ddd")</f>
        <v>Fri</v>
      </c>
      <c r="H52" s="19">
        <f>Table1[[#This Row],[People saw +1 cars (unique)]]*Table1[[#This Row],[Coverage Ratio (unique)]]</f>
        <v>3900</v>
      </c>
    </row>
    <row r="53" spans="1:8" ht="15.75" customHeight="1">
      <c r="A53" s="18" t="s">
        <v>84</v>
      </c>
      <c r="B53" s="19">
        <v>48</v>
      </c>
      <c r="C53" s="19">
        <v>66</v>
      </c>
      <c r="D53" s="19">
        <v>58</v>
      </c>
      <c r="E53" s="19" t="str">
        <f>LEFT(Table1[[#This Row],[Date]],10)</f>
        <v>2016-11-11</v>
      </c>
      <c r="F53" s="19" t="str">
        <f>RIGHT(Table1[[#This Row],[Date]], 2)</f>
        <v>20</v>
      </c>
      <c r="G53" s="19" t="str">
        <f>TEXT(Table1[[#This Row],[New Date]],"ddd")</f>
        <v>Fri</v>
      </c>
      <c r="H53" s="19">
        <f>Table1[[#This Row],[People saw +1 cars (unique)]]*Table1[[#This Row],[Coverage Ratio (unique)]]</f>
        <v>3828</v>
      </c>
    </row>
    <row r="54" spans="1:8" ht="15.75" customHeight="1">
      <c r="A54" s="18" t="s">
        <v>85</v>
      </c>
      <c r="B54" s="19">
        <v>47</v>
      </c>
      <c r="C54" s="19">
        <v>85</v>
      </c>
      <c r="D54" s="19">
        <v>64</v>
      </c>
      <c r="E54" s="19" t="str">
        <f>LEFT(Table1[[#This Row],[Date]],10)</f>
        <v>2016-11-11</v>
      </c>
      <c r="F54" s="19" t="str">
        <f>RIGHT(Table1[[#This Row],[Date]], 2)</f>
        <v>19</v>
      </c>
      <c r="G54" s="19" t="str">
        <f>TEXT(Table1[[#This Row],[New Date]],"ddd")</f>
        <v>Fri</v>
      </c>
      <c r="H54" s="19">
        <f>Table1[[#This Row],[People saw +1 cars (unique)]]*Table1[[#This Row],[Coverage Ratio (unique)]]</f>
        <v>5440</v>
      </c>
    </row>
    <row r="55" spans="1:8" ht="15.75" customHeight="1">
      <c r="A55" s="18" t="s">
        <v>86</v>
      </c>
      <c r="B55" s="19">
        <v>71</v>
      </c>
      <c r="C55" s="19">
        <v>57</v>
      </c>
      <c r="D55" s="19">
        <v>45</v>
      </c>
      <c r="E55" s="19" t="str">
        <f>LEFT(Table1[[#This Row],[Date]],10)</f>
        <v>2016-11-11</v>
      </c>
      <c r="F55" s="19" t="str">
        <f>RIGHT(Table1[[#This Row],[Date]], 2)</f>
        <v>18</v>
      </c>
      <c r="G55" s="19" t="str">
        <f>TEXT(Table1[[#This Row],[New Date]],"ddd")</f>
        <v>Fri</v>
      </c>
      <c r="H55" s="19">
        <f>Table1[[#This Row],[People saw +1 cars (unique)]]*Table1[[#This Row],[Coverage Ratio (unique)]]</f>
        <v>2565</v>
      </c>
    </row>
    <row r="56" spans="1:8" ht="15.75" customHeight="1">
      <c r="A56" s="18" t="s">
        <v>87</v>
      </c>
      <c r="B56" s="19">
        <v>32</v>
      </c>
      <c r="C56" s="19">
        <v>52</v>
      </c>
      <c r="D56" s="19">
        <v>62</v>
      </c>
      <c r="E56" s="19" t="str">
        <f>LEFT(Table1[[#This Row],[Date]],10)</f>
        <v>2016-11-11</v>
      </c>
      <c r="F56" s="19" t="str">
        <f>RIGHT(Table1[[#This Row],[Date]], 2)</f>
        <v>17</v>
      </c>
      <c r="G56" s="19" t="str">
        <f>TEXT(Table1[[#This Row],[New Date]],"ddd")</f>
        <v>Fri</v>
      </c>
      <c r="H56" s="19">
        <f>Table1[[#This Row],[People saw +1 cars (unique)]]*Table1[[#This Row],[Coverage Ratio (unique)]]</f>
        <v>3224</v>
      </c>
    </row>
    <row r="57" spans="1:8" ht="15.75" customHeight="1">
      <c r="A57" s="18" t="s">
        <v>88</v>
      </c>
      <c r="B57" s="19">
        <v>27</v>
      </c>
      <c r="C57" s="19">
        <v>46</v>
      </c>
      <c r="D57" s="19">
        <v>63</v>
      </c>
      <c r="E57" s="19" t="str">
        <f>LEFT(Table1[[#This Row],[Date]],10)</f>
        <v>2016-11-11</v>
      </c>
      <c r="F57" s="19" t="str">
        <f>RIGHT(Table1[[#This Row],[Date]], 2)</f>
        <v>16</v>
      </c>
      <c r="G57" s="19" t="str">
        <f>TEXT(Table1[[#This Row],[New Date]],"ddd")</f>
        <v>Fri</v>
      </c>
      <c r="H57" s="19">
        <f>Table1[[#This Row],[People saw +1 cars (unique)]]*Table1[[#This Row],[Coverage Ratio (unique)]]</f>
        <v>2898</v>
      </c>
    </row>
    <row r="58" spans="1:8" ht="15.75" customHeight="1">
      <c r="A58" s="18" t="s">
        <v>89</v>
      </c>
      <c r="B58" s="19">
        <v>7</v>
      </c>
      <c r="C58" s="19">
        <v>32</v>
      </c>
      <c r="D58" s="19">
        <v>82</v>
      </c>
      <c r="E58" s="19" t="str">
        <f>LEFT(Table1[[#This Row],[Date]],10)</f>
        <v>2016-11-11</v>
      </c>
      <c r="F58" s="19" t="str">
        <f>RIGHT(Table1[[#This Row],[Date]], 2)</f>
        <v>15</v>
      </c>
      <c r="G58" s="19" t="str">
        <f>TEXT(Table1[[#This Row],[New Date]],"ddd")</f>
        <v>Fri</v>
      </c>
      <c r="H58" s="19">
        <f>Table1[[#This Row],[People saw +1 cars (unique)]]*Table1[[#This Row],[Coverage Ratio (unique)]]</f>
        <v>2624</v>
      </c>
    </row>
    <row r="59" spans="1:8" ht="15.75" customHeight="1">
      <c r="A59" s="18" t="s">
        <v>90</v>
      </c>
      <c r="B59" s="19">
        <v>11</v>
      </c>
      <c r="C59" s="19">
        <v>39</v>
      </c>
      <c r="D59" s="19">
        <v>78</v>
      </c>
      <c r="E59" s="19" t="str">
        <f>LEFT(Table1[[#This Row],[Date]],10)</f>
        <v>2016-11-11</v>
      </c>
      <c r="F59" s="19" t="str">
        <f>RIGHT(Table1[[#This Row],[Date]], 2)</f>
        <v>14</v>
      </c>
      <c r="G59" s="19" t="str">
        <f>TEXT(Table1[[#This Row],[New Date]],"ddd")</f>
        <v>Fri</v>
      </c>
      <c r="H59" s="19">
        <f>Table1[[#This Row],[People saw +1 cars (unique)]]*Table1[[#This Row],[Coverage Ratio (unique)]]</f>
        <v>3042</v>
      </c>
    </row>
    <row r="60" spans="1:8" ht="15.75" customHeight="1">
      <c r="A60" s="18" t="s">
        <v>91</v>
      </c>
      <c r="B60" s="19">
        <v>9</v>
      </c>
      <c r="C60" s="19">
        <v>34</v>
      </c>
      <c r="D60" s="19">
        <v>79</v>
      </c>
      <c r="E60" s="19" t="str">
        <f>LEFT(Table1[[#This Row],[Date]],10)</f>
        <v>2016-11-11</v>
      </c>
      <c r="F60" s="19" t="str">
        <f>RIGHT(Table1[[#This Row],[Date]], 2)</f>
        <v>13</v>
      </c>
      <c r="G60" s="19" t="str">
        <f>TEXT(Table1[[#This Row],[New Date]],"ddd")</f>
        <v>Fri</v>
      </c>
      <c r="H60" s="19">
        <f>Table1[[#This Row],[People saw +1 cars (unique)]]*Table1[[#This Row],[Coverage Ratio (unique)]]</f>
        <v>2686</v>
      </c>
    </row>
    <row r="61" spans="1:8" ht="15.75" customHeight="1">
      <c r="A61" s="18" t="s">
        <v>92</v>
      </c>
      <c r="B61" s="19">
        <v>12</v>
      </c>
      <c r="C61" s="19">
        <v>32</v>
      </c>
      <c r="D61" s="19">
        <v>73</v>
      </c>
      <c r="E61" s="19" t="str">
        <f>LEFT(Table1[[#This Row],[Date]],10)</f>
        <v>2016-11-11</v>
      </c>
      <c r="F61" s="19" t="str">
        <f>RIGHT(Table1[[#This Row],[Date]], 2)</f>
        <v>12</v>
      </c>
      <c r="G61" s="19" t="str">
        <f>TEXT(Table1[[#This Row],[New Date]],"ddd")</f>
        <v>Fri</v>
      </c>
      <c r="H61" s="19">
        <f>Table1[[#This Row],[People saw +1 cars (unique)]]*Table1[[#This Row],[Coverage Ratio (unique)]]</f>
        <v>2336</v>
      </c>
    </row>
    <row r="62" spans="1:8" ht="15.75" customHeight="1">
      <c r="A62" s="18" t="s">
        <v>93</v>
      </c>
      <c r="B62" s="19">
        <v>13</v>
      </c>
      <c r="C62" s="19">
        <v>50</v>
      </c>
      <c r="D62" s="19">
        <v>79</v>
      </c>
      <c r="E62" s="19" t="str">
        <f>LEFT(Table1[[#This Row],[Date]],10)</f>
        <v>2016-11-11</v>
      </c>
      <c r="F62" s="19" t="str">
        <f>RIGHT(Table1[[#This Row],[Date]], 2)</f>
        <v>11</v>
      </c>
      <c r="G62" s="19" t="str">
        <f>TEXT(Table1[[#This Row],[New Date]],"ddd")</f>
        <v>Fri</v>
      </c>
      <c r="H62" s="19">
        <f>Table1[[#This Row],[People saw +1 cars (unique)]]*Table1[[#This Row],[Coverage Ratio (unique)]]</f>
        <v>3950</v>
      </c>
    </row>
    <row r="63" spans="1:8" ht="15.75" customHeight="1">
      <c r="A63" s="18" t="s">
        <v>94</v>
      </c>
      <c r="B63" s="19">
        <v>27</v>
      </c>
      <c r="C63" s="19">
        <v>55</v>
      </c>
      <c r="D63" s="19">
        <v>67</v>
      </c>
      <c r="E63" s="19" t="str">
        <f>LEFT(Table1[[#This Row],[Date]],10)</f>
        <v>2016-11-11</v>
      </c>
      <c r="F63" s="19" t="str">
        <f>RIGHT(Table1[[#This Row],[Date]], 2)</f>
        <v>10</v>
      </c>
      <c r="G63" s="19" t="str">
        <f>TEXT(Table1[[#This Row],[New Date]],"ddd")</f>
        <v>Fri</v>
      </c>
      <c r="H63" s="19">
        <f>Table1[[#This Row],[People saw +1 cars (unique)]]*Table1[[#This Row],[Coverage Ratio (unique)]]</f>
        <v>3685</v>
      </c>
    </row>
    <row r="64" spans="1:8" ht="15.75" customHeight="1">
      <c r="A64" s="18" t="s">
        <v>95</v>
      </c>
      <c r="B64" s="19">
        <v>29</v>
      </c>
      <c r="C64" s="19">
        <v>59</v>
      </c>
      <c r="D64" s="19">
        <v>67</v>
      </c>
      <c r="E64" s="19" t="str">
        <f>LEFT(Table1[[#This Row],[Date]],10)</f>
        <v>2016-11-11</v>
      </c>
      <c r="F64" s="19" t="str">
        <f>RIGHT(Table1[[#This Row],[Date]], 2)</f>
        <v>09</v>
      </c>
      <c r="G64" s="19" t="str">
        <f>TEXT(Table1[[#This Row],[New Date]],"ddd")</f>
        <v>Fri</v>
      </c>
      <c r="H64" s="19">
        <f>Table1[[#This Row],[People saw +1 cars (unique)]]*Table1[[#This Row],[Coverage Ratio (unique)]]</f>
        <v>3953</v>
      </c>
    </row>
    <row r="65" spans="1:8" ht="15.75" customHeight="1">
      <c r="A65" s="18" t="s">
        <v>96</v>
      </c>
      <c r="B65" s="19">
        <v>27</v>
      </c>
      <c r="C65" s="19">
        <v>50</v>
      </c>
      <c r="D65" s="19">
        <v>65</v>
      </c>
      <c r="E65" s="19" t="str">
        <f>LEFT(Table1[[#This Row],[Date]],10)</f>
        <v>2016-11-11</v>
      </c>
      <c r="F65" s="19" t="str">
        <f>RIGHT(Table1[[#This Row],[Date]], 2)</f>
        <v>08</v>
      </c>
      <c r="G65" s="19" t="str">
        <f>TEXT(Table1[[#This Row],[New Date]],"ddd")</f>
        <v>Fri</v>
      </c>
      <c r="H65" s="19">
        <f>Table1[[#This Row],[People saw +1 cars (unique)]]*Table1[[#This Row],[Coverage Ratio (unique)]]</f>
        <v>3250</v>
      </c>
    </row>
    <row r="66" spans="1:8" ht="15.75" customHeight="1">
      <c r="A66" s="18" t="s">
        <v>97</v>
      </c>
      <c r="B66" s="19">
        <v>15</v>
      </c>
      <c r="C66" s="19">
        <v>18</v>
      </c>
      <c r="D66" s="19">
        <v>55</v>
      </c>
      <c r="E66" s="19" t="str">
        <f>LEFT(Table1[[#This Row],[Date]],10)</f>
        <v>2016-11-11</v>
      </c>
      <c r="F66" s="19" t="str">
        <f>RIGHT(Table1[[#This Row],[Date]], 2)</f>
        <v>07</v>
      </c>
      <c r="G66" s="19" t="str">
        <f>TEXT(Table1[[#This Row],[New Date]],"ddd")</f>
        <v>Fri</v>
      </c>
      <c r="H66" s="19">
        <f>Table1[[#This Row],[People saw +1 cars (unique)]]*Table1[[#This Row],[Coverage Ratio (unique)]]</f>
        <v>990</v>
      </c>
    </row>
    <row r="67" spans="1:8" ht="15.75" customHeight="1">
      <c r="A67" s="18" t="s">
        <v>98</v>
      </c>
      <c r="B67" s="19">
        <v>4</v>
      </c>
      <c r="C67" s="19">
        <v>6</v>
      </c>
      <c r="D67" s="19">
        <v>60</v>
      </c>
      <c r="E67" s="19" t="str">
        <f>LEFT(Table1[[#This Row],[Date]],10)</f>
        <v>2016-11-11</v>
      </c>
      <c r="F67" s="19" t="str">
        <f>RIGHT(Table1[[#This Row],[Date]], 2)</f>
        <v>06</v>
      </c>
      <c r="G67" s="19" t="str">
        <f>TEXT(Table1[[#This Row],[New Date]],"ddd")</f>
        <v>Fri</v>
      </c>
      <c r="H67" s="19">
        <f>Table1[[#This Row],[People saw +1 cars (unique)]]*Table1[[#This Row],[Coverage Ratio (unique)]]</f>
        <v>360</v>
      </c>
    </row>
    <row r="68" spans="1:8" ht="15.75" customHeight="1">
      <c r="A68" s="18" t="s">
        <v>99</v>
      </c>
      <c r="B68" s="19">
        <v>1</v>
      </c>
      <c r="C68" s="19">
        <v>5</v>
      </c>
      <c r="D68" s="19">
        <v>83</v>
      </c>
      <c r="E68" s="19" t="str">
        <f>LEFT(Table1[[#This Row],[Date]],10)</f>
        <v>2016-11-11</v>
      </c>
      <c r="F68" s="19" t="str">
        <f>RIGHT(Table1[[#This Row],[Date]], 2)</f>
        <v>05</v>
      </c>
      <c r="G68" s="19" t="str">
        <f>TEXT(Table1[[#This Row],[New Date]],"ddd")</f>
        <v>Fri</v>
      </c>
      <c r="H68" s="19">
        <f>Table1[[#This Row],[People saw +1 cars (unique)]]*Table1[[#This Row],[Coverage Ratio (unique)]]</f>
        <v>415</v>
      </c>
    </row>
    <row r="69" spans="1:8" ht="15.75" customHeight="1">
      <c r="A69" s="18" t="s">
        <v>100</v>
      </c>
      <c r="B69" s="19">
        <v>4</v>
      </c>
      <c r="C69" s="19">
        <v>1</v>
      </c>
      <c r="D69" s="19">
        <v>20</v>
      </c>
      <c r="E69" s="19" t="str">
        <f>LEFT(Table1[[#This Row],[Date]],10)</f>
        <v>2016-11-11</v>
      </c>
      <c r="F69" s="19" t="str">
        <f>RIGHT(Table1[[#This Row],[Date]], 2)</f>
        <v>04</v>
      </c>
      <c r="G69" s="19" t="str">
        <f>TEXT(Table1[[#This Row],[New Date]],"ddd")</f>
        <v>Fri</v>
      </c>
      <c r="H69" s="19">
        <f>Table1[[#This Row],[People saw +1 cars (unique)]]*Table1[[#This Row],[Coverage Ratio (unique)]]</f>
        <v>20</v>
      </c>
    </row>
    <row r="70" spans="1:8" ht="15.75" customHeight="1">
      <c r="A70" s="18" t="s">
        <v>101</v>
      </c>
      <c r="B70" s="19">
        <v>2</v>
      </c>
      <c r="C70" s="19">
        <v>4</v>
      </c>
      <c r="D70" s="19">
        <v>67</v>
      </c>
      <c r="E70" s="19" t="str">
        <f>LEFT(Table1[[#This Row],[Date]],10)</f>
        <v>2016-11-11</v>
      </c>
      <c r="F70" s="19" t="str">
        <f>RIGHT(Table1[[#This Row],[Date]], 2)</f>
        <v>03</v>
      </c>
      <c r="G70" s="19" t="str">
        <f>TEXT(Table1[[#This Row],[New Date]],"ddd")</f>
        <v>Fri</v>
      </c>
      <c r="H70" s="19">
        <f>Table1[[#This Row],[People saw +1 cars (unique)]]*Table1[[#This Row],[Coverage Ratio (unique)]]</f>
        <v>268</v>
      </c>
    </row>
    <row r="71" spans="1:8" ht="15.75" customHeight="1">
      <c r="A71" s="18" t="s">
        <v>102</v>
      </c>
      <c r="B71" s="19">
        <v>1</v>
      </c>
      <c r="C71" s="19">
        <v>11</v>
      </c>
      <c r="D71" s="19">
        <v>92</v>
      </c>
      <c r="E71" s="19" t="str">
        <f>LEFT(Table1[[#This Row],[Date]],10)</f>
        <v>2016-11-11</v>
      </c>
      <c r="F71" s="19" t="str">
        <f>RIGHT(Table1[[#This Row],[Date]], 2)</f>
        <v>02</v>
      </c>
      <c r="G71" s="19" t="str">
        <f>TEXT(Table1[[#This Row],[New Date]],"ddd")</f>
        <v>Fri</v>
      </c>
      <c r="H71" s="19">
        <f>Table1[[#This Row],[People saw +1 cars (unique)]]*Table1[[#This Row],[Coverage Ratio (unique)]]</f>
        <v>1012</v>
      </c>
    </row>
    <row r="72" spans="1:8" ht="15.75" customHeight="1">
      <c r="A72" s="18" t="s">
        <v>103</v>
      </c>
      <c r="B72" s="19">
        <v>5</v>
      </c>
      <c r="C72" s="19">
        <v>15</v>
      </c>
      <c r="D72" s="19">
        <v>75</v>
      </c>
      <c r="E72" s="19" t="str">
        <f>LEFT(Table1[[#This Row],[Date]],10)</f>
        <v>2016-11-11</v>
      </c>
      <c r="F72" s="19" t="str">
        <f>RIGHT(Table1[[#This Row],[Date]], 2)</f>
        <v>01</v>
      </c>
      <c r="G72" s="19" t="str">
        <f>TEXT(Table1[[#This Row],[New Date]],"ddd")</f>
        <v>Fri</v>
      </c>
      <c r="H72" s="19">
        <f>Table1[[#This Row],[People saw +1 cars (unique)]]*Table1[[#This Row],[Coverage Ratio (unique)]]</f>
        <v>1125</v>
      </c>
    </row>
    <row r="73" spans="1:8" ht="15.75" customHeight="1">
      <c r="A73" s="18" t="s">
        <v>104</v>
      </c>
      <c r="B73" s="19">
        <v>8</v>
      </c>
      <c r="C73" s="19">
        <v>26</v>
      </c>
      <c r="D73" s="19">
        <v>76</v>
      </c>
      <c r="E73" s="19" t="str">
        <f>LEFT(Table1[[#This Row],[Date]],10)</f>
        <v>2016-11-11</v>
      </c>
      <c r="F73" s="19" t="str">
        <f>RIGHT(Table1[[#This Row],[Date]], 2)</f>
        <v>00</v>
      </c>
      <c r="G73" s="19" t="str">
        <f>TEXT(Table1[[#This Row],[New Date]],"ddd")</f>
        <v>Fri</v>
      </c>
      <c r="H73" s="19">
        <f>Table1[[#This Row],[People saw +1 cars (unique)]]*Table1[[#This Row],[Coverage Ratio (unique)]]</f>
        <v>1976</v>
      </c>
    </row>
    <row r="74" spans="1:8" ht="15.75" customHeight="1">
      <c r="A74" s="18" t="s">
        <v>105</v>
      </c>
      <c r="B74" s="19">
        <v>10</v>
      </c>
      <c r="C74" s="19">
        <v>36</v>
      </c>
      <c r="D74" s="19">
        <v>78</v>
      </c>
      <c r="E74" s="19" t="str">
        <f>LEFT(Table1[[#This Row],[Date]],10)</f>
        <v>2016-11-10</v>
      </c>
      <c r="F74" s="19" t="str">
        <f>RIGHT(Table1[[#This Row],[Date]], 2)</f>
        <v>23</v>
      </c>
      <c r="G74" s="19" t="str">
        <f>TEXT(Table1[[#This Row],[New Date]],"ddd")</f>
        <v>Thu</v>
      </c>
      <c r="H74" s="19">
        <f>Table1[[#This Row],[People saw +1 cars (unique)]]*Table1[[#This Row],[Coverage Ratio (unique)]]</f>
        <v>2808</v>
      </c>
    </row>
    <row r="75" spans="1:8" ht="15.75" customHeight="1">
      <c r="A75" s="18" t="s">
        <v>106</v>
      </c>
      <c r="B75" s="19">
        <v>7</v>
      </c>
      <c r="C75" s="19">
        <v>40</v>
      </c>
      <c r="D75" s="19">
        <v>85</v>
      </c>
      <c r="E75" s="19" t="str">
        <f>LEFT(Table1[[#This Row],[Date]],10)</f>
        <v>2016-11-10</v>
      </c>
      <c r="F75" s="19" t="str">
        <f>RIGHT(Table1[[#This Row],[Date]], 2)</f>
        <v>22</v>
      </c>
      <c r="G75" s="19" t="str">
        <f>TEXT(Table1[[#This Row],[New Date]],"ddd")</f>
        <v>Thu</v>
      </c>
      <c r="H75" s="19">
        <f>Table1[[#This Row],[People saw +1 cars (unique)]]*Table1[[#This Row],[Coverage Ratio (unique)]]</f>
        <v>3400</v>
      </c>
    </row>
    <row r="76" spans="1:8" ht="15.75" customHeight="1">
      <c r="A76" s="18" t="s">
        <v>107</v>
      </c>
      <c r="B76" s="19">
        <v>2</v>
      </c>
      <c r="C76" s="19">
        <v>34</v>
      </c>
      <c r="D76" s="19">
        <v>94</v>
      </c>
      <c r="E76" s="19" t="str">
        <f>LEFT(Table1[[#This Row],[Date]],10)</f>
        <v>2016-11-10</v>
      </c>
      <c r="F76" s="19" t="str">
        <f>RIGHT(Table1[[#This Row],[Date]], 2)</f>
        <v>21</v>
      </c>
      <c r="G76" s="19" t="str">
        <f>TEXT(Table1[[#This Row],[New Date]],"ddd")</f>
        <v>Thu</v>
      </c>
      <c r="H76" s="19">
        <f>Table1[[#This Row],[People saw +1 cars (unique)]]*Table1[[#This Row],[Coverage Ratio (unique)]]</f>
        <v>3196</v>
      </c>
    </row>
    <row r="77" spans="1:8" ht="15.75" customHeight="1">
      <c r="A77" s="18" t="s">
        <v>108</v>
      </c>
      <c r="B77" s="19">
        <v>6</v>
      </c>
      <c r="C77" s="19">
        <v>47</v>
      </c>
      <c r="D77" s="19">
        <v>89</v>
      </c>
      <c r="E77" s="19" t="str">
        <f>LEFT(Table1[[#This Row],[Date]],10)</f>
        <v>2016-11-10</v>
      </c>
      <c r="F77" s="19" t="str">
        <f>RIGHT(Table1[[#This Row],[Date]], 2)</f>
        <v>20</v>
      </c>
      <c r="G77" s="19" t="str">
        <f>TEXT(Table1[[#This Row],[New Date]],"ddd")</f>
        <v>Thu</v>
      </c>
      <c r="H77" s="19">
        <f>Table1[[#This Row],[People saw +1 cars (unique)]]*Table1[[#This Row],[Coverage Ratio (unique)]]</f>
        <v>4183</v>
      </c>
    </row>
    <row r="78" spans="1:8" ht="15.75" customHeight="1">
      <c r="A78" s="18" t="s">
        <v>109</v>
      </c>
      <c r="B78" s="19">
        <v>9</v>
      </c>
      <c r="C78" s="19">
        <v>47</v>
      </c>
      <c r="D78" s="19">
        <v>84</v>
      </c>
      <c r="E78" s="19" t="str">
        <f>LEFT(Table1[[#This Row],[Date]],10)</f>
        <v>2016-11-10</v>
      </c>
      <c r="F78" s="19" t="str">
        <f>RIGHT(Table1[[#This Row],[Date]], 2)</f>
        <v>19</v>
      </c>
      <c r="G78" s="19" t="str">
        <f>TEXT(Table1[[#This Row],[New Date]],"ddd")</f>
        <v>Thu</v>
      </c>
      <c r="H78" s="19">
        <f>Table1[[#This Row],[People saw +1 cars (unique)]]*Table1[[#This Row],[Coverage Ratio (unique)]]</f>
        <v>3948</v>
      </c>
    </row>
    <row r="79" spans="1:8" ht="15.75" customHeight="1">
      <c r="A79" s="18" t="s">
        <v>110</v>
      </c>
      <c r="B79" s="19">
        <v>7</v>
      </c>
      <c r="C79" s="19">
        <v>67</v>
      </c>
      <c r="D79" s="19">
        <v>91</v>
      </c>
      <c r="E79" s="19" t="str">
        <f>LEFT(Table1[[#This Row],[Date]],10)</f>
        <v>2016-11-10</v>
      </c>
      <c r="F79" s="19" t="str">
        <f>RIGHT(Table1[[#This Row],[Date]], 2)</f>
        <v>18</v>
      </c>
      <c r="G79" s="19" t="str">
        <f>TEXT(Table1[[#This Row],[New Date]],"ddd")</f>
        <v>Thu</v>
      </c>
      <c r="H79" s="19">
        <f>Table1[[#This Row],[People saw +1 cars (unique)]]*Table1[[#This Row],[Coverage Ratio (unique)]]</f>
        <v>6097</v>
      </c>
    </row>
    <row r="80" spans="1:8" ht="15.75" customHeight="1">
      <c r="A80" s="18" t="s">
        <v>111</v>
      </c>
      <c r="B80" s="19">
        <v>11</v>
      </c>
      <c r="C80" s="19">
        <v>57</v>
      </c>
      <c r="D80" s="19">
        <v>84</v>
      </c>
      <c r="E80" s="19" t="str">
        <f>LEFT(Table1[[#This Row],[Date]],10)</f>
        <v>2016-11-10</v>
      </c>
      <c r="F80" s="19" t="str">
        <f>RIGHT(Table1[[#This Row],[Date]], 2)</f>
        <v>17</v>
      </c>
      <c r="G80" s="19" t="str">
        <f>TEXT(Table1[[#This Row],[New Date]],"ddd")</f>
        <v>Thu</v>
      </c>
      <c r="H80" s="19">
        <f>Table1[[#This Row],[People saw +1 cars (unique)]]*Table1[[#This Row],[Coverage Ratio (unique)]]</f>
        <v>4788</v>
      </c>
    </row>
    <row r="81" spans="1:8" ht="15.75" customHeight="1">
      <c r="A81" s="18" t="s">
        <v>112</v>
      </c>
      <c r="B81" s="19">
        <v>5</v>
      </c>
      <c r="C81" s="19">
        <v>27</v>
      </c>
      <c r="D81" s="19">
        <v>84</v>
      </c>
      <c r="E81" s="19" t="str">
        <f>LEFT(Table1[[#This Row],[Date]],10)</f>
        <v>2016-11-10</v>
      </c>
      <c r="F81" s="19" t="str">
        <f>RIGHT(Table1[[#This Row],[Date]], 2)</f>
        <v>16</v>
      </c>
      <c r="G81" s="19" t="str">
        <f>TEXT(Table1[[#This Row],[New Date]],"ddd")</f>
        <v>Thu</v>
      </c>
      <c r="H81" s="19">
        <f>Table1[[#This Row],[People saw +1 cars (unique)]]*Table1[[#This Row],[Coverage Ratio (unique)]]</f>
        <v>2268</v>
      </c>
    </row>
    <row r="82" spans="1:8" ht="15.75" customHeight="1">
      <c r="A82" s="18" t="s">
        <v>113</v>
      </c>
      <c r="B82" s="19">
        <v>6</v>
      </c>
      <c r="C82" s="19">
        <v>20</v>
      </c>
      <c r="D82" s="19">
        <v>77</v>
      </c>
      <c r="E82" s="19" t="str">
        <f>LEFT(Table1[[#This Row],[Date]],10)</f>
        <v>2016-11-10</v>
      </c>
      <c r="F82" s="19" t="str">
        <f>RIGHT(Table1[[#This Row],[Date]], 2)</f>
        <v>15</v>
      </c>
      <c r="G82" s="19" t="str">
        <f>TEXT(Table1[[#This Row],[New Date]],"ddd")</f>
        <v>Thu</v>
      </c>
      <c r="H82" s="19">
        <f>Table1[[#This Row],[People saw +1 cars (unique)]]*Table1[[#This Row],[Coverage Ratio (unique)]]</f>
        <v>1540</v>
      </c>
    </row>
    <row r="83" spans="1:8" ht="15.75" customHeight="1">
      <c r="A83" s="18" t="s">
        <v>114</v>
      </c>
      <c r="B83" s="19">
        <v>2</v>
      </c>
      <c r="C83" s="19">
        <v>14</v>
      </c>
      <c r="D83" s="19">
        <v>88</v>
      </c>
      <c r="E83" s="19" t="str">
        <f>LEFT(Table1[[#This Row],[Date]],10)</f>
        <v>2016-11-10</v>
      </c>
      <c r="F83" s="19" t="str">
        <f>RIGHT(Table1[[#This Row],[Date]], 2)</f>
        <v>14</v>
      </c>
      <c r="G83" s="19" t="str">
        <f>TEXT(Table1[[#This Row],[New Date]],"ddd")</f>
        <v>Thu</v>
      </c>
      <c r="H83" s="19">
        <f>Table1[[#This Row],[People saw +1 cars (unique)]]*Table1[[#This Row],[Coverage Ratio (unique)]]</f>
        <v>1232</v>
      </c>
    </row>
    <row r="84" spans="1:8" ht="15.75" customHeight="1">
      <c r="A84" s="18" t="s">
        <v>115</v>
      </c>
      <c r="B84" s="19">
        <v>4</v>
      </c>
      <c r="C84" s="19">
        <v>33</v>
      </c>
      <c r="D84" s="19">
        <v>89</v>
      </c>
      <c r="E84" s="19" t="str">
        <f>LEFT(Table1[[#This Row],[Date]],10)</f>
        <v>2016-11-10</v>
      </c>
      <c r="F84" s="19" t="str">
        <f>RIGHT(Table1[[#This Row],[Date]], 2)</f>
        <v>13</v>
      </c>
      <c r="G84" s="19" t="str">
        <f>TEXT(Table1[[#This Row],[New Date]],"ddd")</f>
        <v>Thu</v>
      </c>
      <c r="H84" s="19">
        <f>Table1[[#This Row],[People saw +1 cars (unique)]]*Table1[[#This Row],[Coverage Ratio (unique)]]</f>
        <v>2937</v>
      </c>
    </row>
    <row r="85" spans="1:8" ht="15.75" customHeight="1">
      <c r="A85" s="18" t="s">
        <v>116</v>
      </c>
      <c r="B85" s="19">
        <v>4</v>
      </c>
      <c r="C85" s="19">
        <v>23</v>
      </c>
      <c r="D85" s="19">
        <v>85</v>
      </c>
      <c r="E85" s="19" t="str">
        <f>LEFT(Table1[[#This Row],[Date]],10)</f>
        <v>2016-11-10</v>
      </c>
      <c r="F85" s="19" t="str">
        <f>RIGHT(Table1[[#This Row],[Date]], 2)</f>
        <v>12</v>
      </c>
      <c r="G85" s="19" t="str">
        <f>TEXT(Table1[[#This Row],[New Date]],"ddd")</f>
        <v>Thu</v>
      </c>
      <c r="H85" s="19">
        <f>Table1[[#This Row],[People saw +1 cars (unique)]]*Table1[[#This Row],[Coverage Ratio (unique)]]</f>
        <v>1955</v>
      </c>
    </row>
    <row r="86" spans="1:8" ht="15.75" customHeight="1">
      <c r="A86" s="18" t="s">
        <v>117</v>
      </c>
      <c r="B86" s="19">
        <v>3</v>
      </c>
      <c r="C86" s="19">
        <v>24</v>
      </c>
      <c r="D86" s="19">
        <v>89</v>
      </c>
      <c r="E86" s="19" t="str">
        <f>LEFT(Table1[[#This Row],[Date]],10)</f>
        <v>2016-11-10</v>
      </c>
      <c r="F86" s="19" t="str">
        <f>RIGHT(Table1[[#This Row],[Date]], 2)</f>
        <v>11</v>
      </c>
      <c r="G86" s="19" t="str">
        <f>TEXT(Table1[[#This Row],[New Date]],"ddd")</f>
        <v>Thu</v>
      </c>
      <c r="H86" s="19">
        <f>Table1[[#This Row],[People saw +1 cars (unique)]]*Table1[[#This Row],[Coverage Ratio (unique)]]</f>
        <v>2136</v>
      </c>
    </row>
    <row r="87" spans="1:8" ht="15.75" customHeight="1">
      <c r="A87" s="18" t="s">
        <v>118</v>
      </c>
      <c r="B87" s="19">
        <v>8</v>
      </c>
      <c r="C87" s="19">
        <v>30</v>
      </c>
      <c r="D87" s="19">
        <v>79</v>
      </c>
      <c r="E87" s="19" t="str">
        <f>LEFT(Table1[[#This Row],[Date]],10)</f>
        <v>2016-11-10</v>
      </c>
      <c r="F87" s="19" t="str">
        <f>RIGHT(Table1[[#This Row],[Date]], 2)</f>
        <v>10</v>
      </c>
      <c r="G87" s="19" t="str">
        <f>TEXT(Table1[[#This Row],[New Date]],"ddd")</f>
        <v>Thu</v>
      </c>
      <c r="H87" s="19">
        <f>Table1[[#This Row],[People saw +1 cars (unique)]]*Table1[[#This Row],[Coverage Ratio (unique)]]</f>
        <v>2370</v>
      </c>
    </row>
    <row r="88" spans="1:8" ht="15.75" customHeight="1">
      <c r="A88" s="18" t="s">
        <v>119</v>
      </c>
      <c r="B88" s="19">
        <v>40</v>
      </c>
      <c r="C88" s="19">
        <v>53</v>
      </c>
      <c r="D88" s="19">
        <v>57</v>
      </c>
      <c r="E88" s="19" t="str">
        <f>LEFT(Table1[[#This Row],[Date]],10)</f>
        <v>2016-11-10</v>
      </c>
      <c r="F88" s="19" t="str">
        <f>RIGHT(Table1[[#This Row],[Date]], 2)</f>
        <v>09</v>
      </c>
      <c r="G88" s="19" t="str">
        <f>TEXT(Table1[[#This Row],[New Date]],"ddd")</f>
        <v>Thu</v>
      </c>
      <c r="H88" s="19">
        <f>Table1[[#This Row],[People saw +1 cars (unique)]]*Table1[[#This Row],[Coverage Ratio (unique)]]</f>
        <v>3021</v>
      </c>
    </row>
    <row r="89" spans="1:8" ht="15.75" customHeight="1">
      <c r="A89" s="18" t="s">
        <v>120</v>
      </c>
      <c r="B89" s="19">
        <v>33</v>
      </c>
      <c r="C89" s="19">
        <v>42</v>
      </c>
      <c r="D89" s="19">
        <v>56</v>
      </c>
      <c r="E89" s="19" t="str">
        <f>LEFT(Table1[[#This Row],[Date]],10)</f>
        <v>2016-11-10</v>
      </c>
      <c r="F89" s="19" t="str">
        <f>RIGHT(Table1[[#This Row],[Date]], 2)</f>
        <v>08</v>
      </c>
      <c r="G89" s="19" t="str">
        <f>TEXT(Table1[[#This Row],[New Date]],"ddd")</f>
        <v>Thu</v>
      </c>
      <c r="H89" s="19">
        <f>Table1[[#This Row],[People saw +1 cars (unique)]]*Table1[[#This Row],[Coverage Ratio (unique)]]</f>
        <v>2352</v>
      </c>
    </row>
    <row r="90" spans="1:8" ht="15.75" customHeight="1">
      <c r="A90" s="18" t="s">
        <v>121</v>
      </c>
      <c r="B90" s="19">
        <v>16</v>
      </c>
      <c r="C90" s="19">
        <v>17</v>
      </c>
      <c r="D90" s="19">
        <v>52</v>
      </c>
      <c r="E90" s="19" t="str">
        <f>LEFT(Table1[[#This Row],[Date]],10)</f>
        <v>2016-11-10</v>
      </c>
      <c r="F90" s="19" t="str">
        <f>RIGHT(Table1[[#This Row],[Date]], 2)</f>
        <v>07</v>
      </c>
      <c r="G90" s="19" t="str">
        <f>TEXT(Table1[[#This Row],[New Date]],"ddd")</f>
        <v>Thu</v>
      </c>
      <c r="H90" s="19">
        <f>Table1[[#This Row],[People saw +1 cars (unique)]]*Table1[[#This Row],[Coverage Ratio (unique)]]</f>
        <v>884</v>
      </c>
    </row>
    <row r="91" spans="1:8" ht="15.75" customHeight="1">
      <c r="A91" s="18" t="s">
        <v>122</v>
      </c>
      <c r="B91" s="19">
        <v>3</v>
      </c>
      <c r="C91" s="19">
        <v>4</v>
      </c>
      <c r="D91" s="19">
        <v>57</v>
      </c>
      <c r="E91" s="19" t="str">
        <f>LEFT(Table1[[#This Row],[Date]],10)</f>
        <v>2016-11-10</v>
      </c>
      <c r="F91" s="19" t="str">
        <f>RIGHT(Table1[[#This Row],[Date]], 2)</f>
        <v>06</v>
      </c>
      <c r="G91" s="19" t="str">
        <f>TEXT(Table1[[#This Row],[New Date]],"ddd")</f>
        <v>Thu</v>
      </c>
      <c r="H91" s="19">
        <f>Table1[[#This Row],[People saw +1 cars (unique)]]*Table1[[#This Row],[Coverage Ratio (unique)]]</f>
        <v>228</v>
      </c>
    </row>
    <row r="92" spans="1:8" ht="15.75" customHeight="1">
      <c r="A92" s="18" t="s">
        <v>123</v>
      </c>
      <c r="B92" s="19">
        <v>2</v>
      </c>
      <c r="C92" s="19">
        <v>3</v>
      </c>
      <c r="D92" s="19">
        <v>60</v>
      </c>
      <c r="E92" s="19" t="str">
        <f>LEFT(Table1[[#This Row],[Date]],10)</f>
        <v>2016-11-10</v>
      </c>
      <c r="F92" s="19" t="str">
        <f>RIGHT(Table1[[#This Row],[Date]], 2)</f>
        <v>05</v>
      </c>
      <c r="G92" s="19" t="str">
        <f>TEXT(Table1[[#This Row],[New Date]],"ddd")</f>
        <v>Thu</v>
      </c>
      <c r="H92" s="19">
        <f>Table1[[#This Row],[People saw +1 cars (unique)]]*Table1[[#This Row],[Coverage Ratio (unique)]]</f>
        <v>180</v>
      </c>
    </row>
    <row r="93" spans="1:8" ht="15.75" customHeight="1">
      <c r="A93" s="18" t="s">
        <v>124</v>
      </c>
      <c r="B93" s="19">
        <v>2</v>
      </c>
      <c r="C93" s="19">
        <v>2</v>
      </c>
      <c r="D93" s="19">
        <v>50</v>
      </c>
      <c r="E93" s="19" t="str">
        <f>LEFT(Table1[[#This Row],[Date]],10)</f>
        <v>2016-11-10</v>
      </c>
      <c r="F93" s="19" t="str">
        <f>RIGHT(Table1[[#This Row],[Date]], 2)</f>
        <v>04</v>
      </c>
      <c r="G93" s="19" t="str">
        <f>TEXT(Table1[[#This Row],[New Date]],"ddd")</f>
        <v>Thu</v>
      </c>
      <c r="H93" s="19">
        <f>Table1[[#This Row],[People saw +1 cars (unique)]]*Table1[[#This Row],[Coverage Ratio (unique)]]</f>
        <v>100</v>
      </c>
    </row>
    <row r="94" spans="1:8" ht="15.75" customHeight="1">
      <c r="A94" s="18" t="s">
        <v>125</v>
      </c>
      <c r="B94" s="19">
        <v>0</v>
      </c>
      <c r="C94" s="19">
        <v>1</v>
      </c>
      <c r="D94" s="19">
        <v>100</v>
      </c>
      <c r="E94" s="19" t="str">
        <f>LEFT(Table1[[#This Row],[Date]],10)</f>
        <v>2016-11-10</v>
      </c>
      <c r="F94" s="19" t="str">
        <f>RIGHT(Table1[[#This Row],[Date]], 2)</f>
        <v>03</v>
      </c>
      <c r="G94" s="19" t="str">
        <f>TEXT(Table1[[#This Row],[New Date]],"ddd")</f>
        <v>Thu</v>
      </c>
      <c r="H94" s="19">
        <f>Table1[[#This Row],[People saw +1 cars (unique)]]*Table1[[#This Row],[Coverage Ratio (unique)]]</f>
        <v>100</v>
      </c>
    </row>
    <row r="95" spans="1:8" ht="15.75" customHeight="1">
      <c r="A95" s="18" t="s">
        <v>126</v>
      </c>
      <c r="B95" s="19">
        <v>2</v>
      </c>
      <c r="C95" s="19">
        <v>3</v>
      </c>
      <c r="D95" s="19">
        <v>60</v>
      </c>
      <c r="E95" s="19" t="str">
        <f>LEFT(Table1[[#This Row],[Date]],10)</f>
        <v>2016-11-10</v>
      </c>
      <c r="F95" s="19" t="str">
        <f>RIGHT(Table1[[#This Row],[Date]], 2)</f>
        <v>02</v>
      </c>
      <c r="G95" s="19" t="str">
        <f>TEXT(Table1[[#This Row],[New Date]],"ddd")</f>
        <v>Thu</v>
      </c>
      <c r="H95" s="19">
        <f>Table1[[#This Row],[People saw +1 cars (unique)]]*Table1[[#This Row],[Coverage Ratio (unique)]]</f>
        <v>180</v>
      </c>
    </row>
    <row r="96" spans="1:8" ht="15.75" customHeight="1">
      <c r="A96" s="18" t="s">
        <v>127</v>
      </c>
      <c r="B96" s="19">
        <v>6</v>
      </c>
      <c r="C96" s="19">
        <v>16</v>
      </c>
      <c r="D96" s="19">
        <v>73</v>
      </c>
      <c r="E96" s="19" t="str">
        <f>LEFT(Table1[[#This Row],[Date]],10)</f>
        <v>2016-11-10</v>
      </c>
      <c r="F96" s="19" t="str">
        <f>RIGHT(Table1[[#This Row],[Date]], 2)</f>
        <v>01</v>
      </c>
      <c r="G96" s="19" t="str">
        <f>TEXT(Table1[[#This Row],[New Date]],"ddd")</f>
        <v>Thu</v>
      </c>
      <c r="H96" s="19">
        <f>Table1[[#This Row],[People saw +1 cars (unique)]]*Table1[[#This Row],[Coverage Ratio (unique)]]</f>
        <v>1168</v>
      </c>
    </row>
    <row r="97" spans="1:8" ht="15.75" customHeight="1">
      <c r="A97" s="18" t="s">
        <v>128</v>
      </c>
      <c r="B97" s="19">
        <v>6</v>
      </c>
      <c r="C97" s="19">
        <v>25</v>
      </c>
      <c r="D97" s="19">
        <v>81</v>
      </c>
      <c r="E97" s="19" t="str">
        <f>LEFT(Table1[[#This Row],[Date]],10)</f>
        <v>2016-11-10</v>
      </c>
      <c r="F97" s="19" t="str">
        <f>RIGHT(Table1[[#This Row],[Date]], 2)</f>
        <v>00</v>
      </c>
      <c r="G97" s="19" t="str">
        <f>TEXT(Table1[[#This Row],[New Date]],"ddd")</f>
        <v>Thu</v>
      </c>
      <c r="H97" s="19">
        <f>Table1[[#This Row],[People saw +1 cars (unique)]]*Table1[[#This Row],[Coverage Ratio (unique)]]</f>
        <v>2025</v>
      </c>
    </row>
    <row r="98" spans="1:8" ht="15.75" customHeight="1">
      <c r="A98" s="18" t="s">
        <v>129</v>
      </c>
      <c r="B98" s="19">
        <v>14</v>
      </c>
      <c r="C98" s="19">
        <v>47</v>
      </c>
      <c r="D98" s="19">
        <v>77</v>
      </c>
      <c r="E98" s="19" t="str">
        <f>LEFT(Table1[[#This Row],[Date]],10)</f>
        <v>2016-11-09</v>
      </c>
      <c r="F98" s="19" t="str">
        <f>RIGHT(Table1[[#This Row],[Date]], 2)</f>
        <v>23</v>
      </c>
      <c r="G98" s="19" t="str">
        <f>TEXT(Table1[[#This Row],[New Date]],"ddd")</f>
        <v>Wed</v>
      </c>
      <c r="H98" s="19">
        <f>Table1[[#This Row],[People saw +1 cars (unique)]]*Table1[[#This Row],[Coverage Ratio (unique)]]</f>
        <v>3619</v>
      </c>
    </row>
    <row r="99" spans="1:8" ht="15.75" customHeight="1">
      <c r="A99" s="18" t="s">
        <v>130</v>
      </c>
      <c r="B99" s="19">
        <v>2</v>
      </c>
      <c r="C99" s="19">
        <v>36</v>
      </c>
      <c r="D99" s="19">
        <v>95</v>
      </c>
      <c r="E99" s="19" t="str">
        <f>LEFT(Table1[[#This Row],[Date]],10)</f>
        <v>2016-11-09</v>
      </c>
      <c r="F99" s="19" t="str">
        <f>RIGHT(Table1[[#This Row],[Date]], 2)</f>
        <v>22</v>
      </c>
      <c r="G99" s="19" t="str">
        <f>TEXT(Table1[[#This Row],[New Date]],"ddd")</f>
        <v>Wed</v>
      </c>
      <c r="H99" s="19">
        <f>Table1[[#This Row],[People saw +1 cars (unique)]]*Table1[[#This Row],[Coverage Ratio (unique)]]</f>
        <v>3420</v>
      </c>
    </row>
    <row r="100" spans="1:8" ht="15.75" customHeight="1">
      <c r="A100" s="18" t="s">
        <v>131</v>
      </c>
      <c r="B100" s="19">
        <v>3</v>
      </c>
      <c r="C100" s="19">
        <v>40</v>
      </c>
      <c r="D100" s="19">
        <v>93</v>
      </c>
      <c r="E100" s="19" t="str">
        <f>LEFT(Table1[[#This Row],[Date]],10)</f>
        <v>2016-11-09</v>
      </c>
      <c r="F100" s="19" t="str">
        <f>RIGHT(Table1[[#This Row],[Date]], 2)</f>
        <v>21</v>
      </c>
      <c r="G100" s="19" t="str">
        <f>TEXT(Table1[[#This Row],[New Date]],"ddd")</f>
        <v>Wed</v>
      </c>
      <c r="H100" s="19">
        <f>Table1[[#This Row],[People saw +1 cars (unique)]]*Table1[[#This Row],[Coverage Ratio (unique)]]</f>
        <v>3720</v>
      </c>
    </row>
    <row r="101" spans="1:8" ht="15.75" customHeight="1">
      <c r="A101" s="18" t="s">
        <v>132</v>
      </c>
      <c r="B101" s="19">
        <v>3</v>
      </c>
      <c r="C101" s="19">
        <v>51</v>
      </c>
      <c r="D101" s="19">
        <v>94</v>
      </c>
      <c r="E101" s="19" t="str">
        <f>LEFT(Table1[[#This Row],[Date]],10)</f>
        <v>2016-11-09</v>
      </c>
      <c r="F101" s="19" t="str">
        <f>RIGHT(Table1[[#This Row],[Date]], 2)</f>
        <v>20</v>
      </c>
      <c r="G101" s="19" t="str">
        <f>TEXT(Table1[[#This Row],[New Date]],"ddd")</f>
        <v>Wed</v>
      </c>
      <c r="H101" s="19">
        <f>Table1[[#This Row],[People saw +1 cars (unique)]]*Table1[[#This Row],[Coverage Ratio (unique)]]</f>
        <v>4794</v>
      </c>
    </row>
    <row r="102" spans="1:8" ht="15.75" customHeight="1">
      <c r="A102" s="18" t="s">
        <v>133</v>
      </c>
      <c r="B102" s="19">
        <v>12</v>
      </c>
      <c r="C102" s="19">
        <v>63</v>
      </c>
      <c r="D102" s="19">
        <v>84</v>
      </c>
      <c r="E102" s="19" t="str">
        <f>LEFT(Table1[[#This Row],[Date]],10)</f>
        <v>2016-11-09</v>
      </c>
      <c r="F102" s="19" t="str">
        <f>RIGHT(Table1[[#This Row],[Date]], 2)</f>
        <v>19</v>
      </c>
      <c r="G102" s="19" t="str">
        <f>TEXT(Table1[[#This Row],[New Date]],"ddd")</f>
        <v>Wed</v>
      </c>
      <c r="H102" s="19">
        <f>Table1[[#This Row],[People saw +1 cars (unique)]]*Table1[[#This Row],[Coverage Ratio (unique)]]</f>
        <v>5292</v>
      </c>
    </row>
    <row r="103" spans="1:8" ht="15.75" customHeight="1">
      <c r="A103" s="18" t="s">
        <v>134</v>
      </c>
      <c r="B103" s="19">
        <v>15</v>
      </c>
      <c r="C103" s="19">
        <v>66</v>
      </c>
      <c r="D103" s="19">
        <v>81</v>
      </c>
      <c r="E103" s="19" t="str">
        <f>LEFT(Table1[[#This Row],[Date]],10)</f>
        <v>2016-11-09</v>
      </c>
      <c r="F103" s="19" t="str">
        <f>RIGHT(Table1[[#This Row],[Date]], 2)</f>
        <v>18</v>
      </c>
      <c r="G103" s="19" t="str">
        <f>TEXT(Table1[[#This Row],[New Date]],"ddd")</f>
        <v>Wed</v>
      </c>
      <c r="H103" s="19">
        <f>Table1[[#This Row],[People saw +1 cars (unique)]]*Table1[[#This Row],[Coverage Ratio (unique)]]</f>
        <v>5346</v>
      </c>
    </row>
    <row r="104" spans="1:8" ht="15.75" customHeight="1">
      <c r="A104" s="18" t="s">
        <v>135</v>
      </c>
      <c r="B104" s="19">
        <v>4</v>
      </c>
      <c r="C104" s="19">
        <v>45</v>
      </c>
      <c r="D104" s="19">
        <v>92</v>
      </c>
      <c r="E104" s="19" t="str">
        <f>LEFT(Table1[[#This Row],[Date]],10)</f>
        <v>2016-11-09</v>
      </c>
      <c r="F104" s="19" t="str">
        <f>RIGHT(Table1[[#This Row],[Date]], 2)</f>
        <v>17</v>
      </c>
      <c r="G104" s="19" t="str">
        <f>TEXT(Table1[[#This Row],[New Date]],"ddd")</f>
        <v>Wed</v>
      </c>
      <c r="H104" s="19">
        <f>Table1[[#This Row],[People saw +1 cars (unique)]]*Table1[[#This Row],[Coverage Ratio (unique)]]</f>
        <v>4140</v>
      </c>
    </row>
    <row r="105" spans="1:8" ht="15.75" customHeight="1">
      <c r="A105" s="18" t="s">
        <v>136</v>
      </c>
      <c r="B105" s="19">
        <v>9</v>
      </c>
      <c r="C105" s="19">
        <v>44</v>
      </c>
      <c r="D105" s="19">
        <v>83</v>
      </c>
      <c r="E105" s="19" t="str">
        <f>LEFT(Table1[[#This Row],[Date]],10)</f>
        <v>2016-11-09</v>
      </c>
      <c r="F105" s="19" t="str">
        <f>RIGHT(Table1[[#This Row],[Date]], 2)</f>
        <v>16</v>
      </c>
      <c r="G105" s="19" t="str">
        <f>TEXT(Table1[[#This Row],[New Date]],"ddd")</f>
        <v>Wed</v>
      </c>
      <c r="H105" s="19">
        <f>Table1[[#This Row],[People saw +1 cars (unique)]]*Table1[[#This Row],[Coverage Ratio (unique)]]</f>
        <v>3652</v>
      </c>
    </row>
    <row r="106" spans="1:8" ht="15.75" customHeight="1">
      <c r="A106" s="18" t="s">
        <v>137</v>
      </c>
      <c r="B106" s="19">
        <v>5</v>
      </c>
      <c r="C106" s="19">
        <v>26</v>
      </c>
      <c r="D106" s="19">
        <v>84</v>
      </c>
      <c r="E106" s="19" t="str">
        <f>LEFT(Table1[[#This Row],[Date]],10)</f>
        <v>2016-11-09</v>
      </c>
      <c r="F106" s="19" t="str">
        <f>RIGHT(Table1[[#This Row],[Date]], 2)</f>
        <v>15</v>
      </c>
      <c r="G106" s="19" t="str">
        <f>TEXT(Table1[[#This Row],[New Date]],"ddd")</f>
        <v>Wed</v>
      </c>
      <c r="H106" s="19">
        <f>Table1[[#This Row],[People saw +1 cars (unique)]]*Table1[[#This Row],[Coverage Ratio (unique)]]</f>
        <v>2184</v>
      </c>
    </row>
    <row r="107" spans="1:8" ht="15.75" customHeight="1">
      <c r="A107" s="18" t="s">
        <v>138</v>
      </c>
      <c r="B107" s="19">
        <v>2</v>
      </c>
      <c r="C107" s="19">
        <v>23</v>
      </c>
      <c r="D107" s="19">
        <v>92</v>
      </c>
      <c r="E107" s="19" t="str">
        <f>LEFT(Table1[[#This Row],[Date]],10)</f>
        <v>2016-11-09</v>
      </c>
      <c r="F107" s="19" t="str">
        <f>RIGHT(Table1[[#This Row],[Date]], 2)</f>
        <v>14</v>
      </c>
      <c r="G107" s="19" t="str">
        <f>TEXT(Table1[[#This Row],[New Date]],"ddd")</f>
        <v>Wed</v>
      </c>
      <c r="H107" s="19">
        <f>Table1[[#This Row],[People saw +1 cars (unique)]]*Table1[[#This Row],[Coverage Ratio (unique)]]</f>
        <v>2116</v>
      </c>
    </row>
    <row r="108" spans="1:8" ht="15.75" customHeight="1">
      <c r="A108" s="18" t="s">
        <v>139</v>
      </c>
      <c r="B108" s="19">
        <v>4</v>
      </c>
      <c r="C108" s="19">
        <v>27</v>
      </c>
      <c r="D108" s="19">
        <v>87</v>
      </c>
      <c r="E108" s="19" t="str">
        <f>LEFT(Table1[[#This Row],[Date]],10)</f>
        <v>2016-11-09</v>
      </c>
      <c r="F108" s="19" t="str">
        <f>RIGHT(Table1[[#This Row],[Date]], 2)</f>
        <v>13</v>
      </c>
      <c r="G108" s="19" t="str">
        <f>TEXT(Table1[[#This Row],[New Date]],"ddd")</f>
        <v>Wed</v>
      </c>
      <c r="H108" s="19">
        <f>Table1[[#This Row],[People saw +1 cars (unique)]]*Table1[[#This Row],[Coverage Ratio (unique)]]</f>
        <v>2349</v>
      </c>
    </row>
    <row r="109" spans="1:8" ht="15.75" customHeight="1">
      <c r="A109" s="18" t="s">
        <v>140</v>
      </c>
      <c r="B109" s="19">
        <v>11</v>
      </c>
      <c r="C109" s="19">
        <v>27</v>
      </c>
      <c r="D109" s="19">
        <v>71</v>
      </c>
      <c r="E109" s="19" t="str">
        <f>LEFT(Table1[[#This Row],[Date]],10)</f>
        <v>2016-11-09</v>
      </c>
      <c r="F109" s="19" t="str">
        <f>RIGHT(Table1[[#This Row],[Date]], 2)</f>
        <v>12</v>
      </c>
      <c r="G109" s="19" t="str">
        <f>TEXT(Table1[[#This Row],[New Date]],"ddd")</f>
        <v>Wed</v>
      </c>
      <c r="H109" s="19">
        <f>Table1[[#This Row],[People saw +1 cars (unique)]]*Table1[[#This Row],[Coverage Ratio (unique)]]</f>
        <v>1917</v>
      </c>
    </row>
    <row r="110" spans="1:8" ht="15.75" customHeight="1">
      <c r="A110" s="18" t="s">
        <v>141</v>
      </c>
      <c r="B110" s="19">
        <v>8</v>
      </c>
      <c r="C110" s="19">
        <v>33</v>
      </c>
      <c r="D110" s="19">
        <v>80</v>
      </c>
      <c r="E110" s="19" t="str">
        <f>LEFT(Table1[[#This Row],[Date]],10)</f>
        <v>2016-11-09</v>
      </c>
      <c r="F110" s="19" t="str">
        <f>RIGHT(Table1[[#This Row],[Date]], 2)</f>
        <v>11</v>
      </c>
      <c r="G110" s="19" t="str">
        <f>TEXT(Table1[[#This Row],[New Date]],"ddd")</f>
        <v>Wed</v>
      </c>
      <c r="H110" s="19">
        <f>Table1[[#This Row],[People saw +1 cars (unique)]]*Table1[[#This Row],[Coverage Ratio (unique)]]</f>
        <v>2640</v>
      </c>
    </row>
    <row r="111" spans="1:8" ht="15.75" customHeight="1">
      <c r="A111" s="18" t="s">
        <v>142</v>
      </c>
      <c r="B111" s="19">
        <v>18</v>
      </c>
      <c r="C111" s="19">
        <v>37</v>
      </c>
      <c r="D111" s="19">
        <v>67</v>
      </c>
      <c r="E111" s="19" t="str">
        <f>LEFT(Table1[[#This Row],[Date]],10)</f>
        <v>2016-11-09</v>
      </c>
      <c r="F111" s="19" t="str">
        <f>RIGHT(Table1[[#This Row],[Date]], 2)</f>
        <v>10</v>
      </c>
      <c r="G111" s="19" t="str">
        <f>TEXT(Table1[[#This Row],[New Date]],"ddd")</f>
        <v>Wed</v>
      </c>
      <c r="H111" s="19">
        <f>Table1[[#This Row],[People saw +1 cars (unique)]]*Table1[[#This Row],[Coverage Ratio (unique)]]</f>
        <v>2479</v>
      </c>
    </row>
    <row r="112" spans="1:8" ht="15.75" customHeight="1">
      <c r="A112" s="18" t="s">
        <v>143</v>
      </c>
      <c r="B112" s="19">
        <v>45</v>
      </c>
      <c r="C112" s="19">
        <v>47</v>
      </c>
      <c r="D112" s="19">
        <v>51</v>
      </c>
      <c r="E112" s="19" t="str">
        <f>LEFT(Table1[[#This Row],[Date]],10)</f>
        <v>2016-11-09</v>
      </c>
      <c r="F112" s="19" t="str">
        <f>RIGHT(Table1[[#This Row],[Date]], 2)</f>
        <v>09</v>
      </c>
      <c r="G112" s="19" t="str">
        <f>TEXT(Table1[[#This Row],[New Date]],"ddd")</f>
        <v>Wed</v>
      </c>
      <c r="H112" s="19">
        <f>Table1[[#This Row],[People saw +1 cars (unique)]]*Table1[[#This Row],[Coverage Ratio (unique)]]</f>
        <v>2397</v>
      </c>
    </row>
    <row r="113" spans="1:8" ht="15.75" customHeight="1">
      <c r="A113" s="18" t="s">
        <v>144</v>
      </c>
      <c r="B113" s="19">
        <v>59</v>
      </c>
      <c r="C113" s="19">
        <v>38</v>
      </c>
      <c r="D113" s="19">
        <v>39</v>
      </c>
      <c r="E113" s="19" t="str">
        <f>LEFT(Table1[[#This Row],[Date]],10)</f>
        <v>2016-11-09</v>
      </c>
      <c r="F113" s="19" t="str">
        <f>RIGHT(Table1[[#This Row],[Date]], 2)</f>
        <v>08</v>
      </c>
      <c r="G113" s="19" t="str">
        <f>TEXT(Table1[[#This Row],[New Date]],"ddd")</f>
        <v>Wed</v>
      </c>
      <c r="H113" s="19">
        <f>Table1[[#This Row],[People saw +1 cars (unique)]]*Table1[[#This Row],[Coverage Ratio (unique)]]</f>
        <v>1482</v>
      </c>
    </row>
    <row r="114" spans="1:8" ht="15.75" customHeight="1">
      <c r="A114" s="18" t="s">
        <v>145</v>
      </c>
      <c r="B114" s="19">
        <v>16</v>
      </c>
      <c r="C114" s="19">
        <v>18</v>
      </c>
      <c r="D114" s="19">
        <v>53</v>
      </c>
      <c r="E114" s="19" t="str">
        <f>LEFT(Table1[[#This Row],[Date]],10)</f>
        <v>2016-11-09</v>
      </c>
      <c r="F114" s="19" t="str">
        <f>RIGHT(Table1[[#This Row],[Date]], 2)</f>
        <v>07</v>
      </c>
      <c r="G114" s="19" t="str">
        <f>TEXT(Table1[[#This Row],[New Date]],"ddd")</f>
        <v>Wed</v>
      </c>
      <c r="H114" s="19">
        <f>Table1[[#This Row],[People saw +1 cars (unique)]]*Table1[[#This Row],[Coverage Ratio (unique)]]</f>
        <v>954</v>
      </c>
    </row>
    <row r="115" spans="1:8" ht="15.75" customHeight="1">
      <c r="A115" s="18" t="s">
        <v>146</v>
      </c>
      <c r="B115" s="19">
        <v>9</v>
      </c>
      <c r="C115" s="19">
        <v>2</v>
      </c>
      <c r="D115" s="19">
        <v>18</v>
      </c>
      <c r="E115" s="19" t="str">
        <f>LEFT(Table1[[#This Row],[Date]],10)</f>
        <v>2016-11-09</v>
      </c>
      <c r="F115" s="19" t="str">
        <f>RIGHT(Table1[[#This Row],[Date]], 2)</f>
        <v>06</v>
      </c>
      <c r="G115" s="19" t="str">
        <f>TEXT(Table1[[#This Row],[New Date]],"ddd")</f>
        <v>Wed</v>
      </c>
      <c r="H115" s="19">
        <f>Table1[[#This Row],[People saw +1 cars (unique)]]*Table1[[#This Row],[Coverage Ratio (unique)]]</f>
        <v>36</v>
      </c>
    </row>
    <row r="116" spans="1:8" ht="15.75" customHeight="1">
      <c r="A116" s="18" t="s">
        <v>147</v>
      </c>
      <c r="B116" s="19">
        <v>2</v>
      </c>
      <c r="C116" s="19">
        <v>2</v>
      </c>
      <c r="D116" s="19">
        <v>50</v>
      </c>
      <c r="E116" s="19" t="str">
        <f>LEFT(Table1[[#This Row],[Date]],10)</f>
        <v>2016-11-09</v>
      </c>
      <c r="F116" s="19" t="str">
        <f>RIGHT(Table1[[#This Row],[Date]], 2)</f>
        <v>05</v>
      </c>
      <c r="G116" s="19" t="str">
        <f>TEXT(Table1[[#This Row],[New Date]],"ddd")</f>
        <v>Wed</v>
      </c>
      <c r="H116" s="19">
        <f>Table1[[#This Row],[People saw +1 cars (unique)]]*Table1[[#This Row],[Coverage Ratio (unique)]]</f>
        <v>100</v>
      </c>
    </row>
    <row r="117" spans="1:8" ht="15.75" customHeight="1">
      <c r="A117" s="18" t="s">
        <v>148</v>
      </c>
      <c r="B117" s="19">
        <v>4</v>
      </c>
      <c r="C117" s="19">
        <v>3</v>
      </c>
      <c r="D117" s="19">
        <v>43</v>
      </c>
      <c r="E117" s="19" t="str">
        <f>LEFT(Table1[[#This Row],[Date]],10)</f>
        <v>2016-11-09</v>
      </c>
      <c r="F117" s="19" t="str">
        <f>RIGHT(Table1[[#This Row],[Date]], 2)</f>
        <v>04</v>
      </c>
      <c r="G117" s="19" t="str">
        <f>TEXT(Table1[[#This Row],[New Date]],"ddd")</f>
        <v>Wed</v>
      </c>
      <c r="H117" s="19">
        <f>Table1[[#This Row],[People saw +1 cars (unique)]]*Table1[[#This Row],[Coverage Ratio (unique)]]</f>
        <v>129</v>
      </c>
    </row>
    <row r="118" spans="1:8" ht="15.75" customHeight="1">
      <c r="A118" s="18" t="s">
        <v>149</v>
      </c>
      <c r="B118" s="19">
        <v>4</v>
      </c>
      <c r="C118" s="19">
        <v>5</v>
      </c>
      <c r="D118" s="19">
        <v>56</v>
      </c>
      <c r="E118" s="19" t="str">
        <f>LEFT(Table1[[#This Row],[Date]],10)</f>
        <v>2016-11-09</v>
      </c>
      <c r="F118" s="19" t="str">
        <f>RIGHT(Table1[[#This Row],[Date]], 2)</f>
        <v>03</v>
      </c>
      <c r="G118" s="19" t="str">
        <f>TEXT(Table1[[#This Row],[New Date]],"ddd")</f>
        <v>Wed</v>
      </c>
      <c r="H118" s="19">
        <f>Table1[[#This Row],[People saw +1 cars (unique)]]*Table1[[#This Row],[Coverage Ratio (unique)]]</f>
        <v>280</v>
      </c>
    </row>
    <row r="119" spans="1:8" ht="15.75" customHeight="1">
      <c r="A119" s="18" t="s">
        <v>150</v>
      </c>
      <c r="B119" s="19">
        <v>1</v>
      </c>
      <c r="C119" s="19">
        <v>4</v>
      </c>
      <c r="D119" s="19">
        <v>80</v>
      </c>
      <c r="E119" s="19" t="str">
        <f>LEFT(Table1[[#This Row],[Date]],10)</f>
        <v>2016-11-09</v>
      </c>
      <c r="F119" s="19" t="str">
        <f>RIGHT(Table1[[#This Row],[Date]], 2)</f>
        <v>02</v>
      </c>
      <c r="G119" s="19" t="str">
        <f>TEXT(Table1[[#This Row],[New Date]],"ddd")</f>
        <v>Wed</v>
      </c>
      <c r="H119" s="19">
        <f>Table1[[#This Row],[People saw +1 cars (unique)]]*Table1[[#This Row],[Coverage Ratio (unique)]]</f>
        <v>320</v>
      </c>
    </row>
    <row r="120" spans="1:8" ht="15.75" customHeight="1">
      <c r="A120" s="18" t="s">
        <v>151</v>
      </c>
      <c r="B120" s="19">
        <v>5</v>
      </c>
      <c r="C120" s="19">
        <v>18</v>
      </c>
      <c r="D120" s="19">
        <v>78</v>
      </c>
      <c r="E120" s="19" t="str">
        <f>LEFT(Table1[[#This Row],[Date]],10)</f>
        <v>2016-11-09</v>
      </c>
      <c r="F120" s="19" t="str">
        <f>RIGHT(Table1[[#This Row],[Date]], 2)</f>
        <v>01</v>
      </c>
      <c r="G120" s="19" t="str">
        <f>TEXT(Table1[[#This Row],[New Date]],"ddd")</f>
        <v>Wed</v>
      </c>
      <c r="H120" s="19">
        <f>Table1[[#This Row],[People saw +1 cars (unique)]]*Table1[[#This Row],[Coverage Ratio (unique)]]</f>
        <v>1404</v>
      </c>
    </row>
    <row r="121" spans="1:8" ht="15.75" customHeight="1">
      <c r="A121" s="18" t="s">
        <v>152</v>
      </c>
      <c r="B121" s="19">
        <v>3</v>
      </c>
      <c r="C121" s="19">
        <v>29</v>
      </c>
      <c r="D121" s="19">
        <v>91</v>
      </c>
      <c r="E121" s="19" t="str">
        <f>LEFT(Table1[[#This Row],[Date]],10)</f>
        <v>2016-11-09</v>
      </c>
      <c r="F121" s="19" t="str">
        <f>RIGHT(Table1[[#This Row],[Date]], 2)</f>
        <v>00</v>
      </c>
      <c r="G121" s="19" t="str">
        <f>TEXT(Table1[[#This Row],[New Date]],"ddd")</f>
        <v>Wed</v>
      </c>
      <c r="H121" s="19">
        <f>Table1[[#This Row],[People saw +1 cars (unique)]]*Table1[[#This Row],[Coverage Ratio (unique)]]</f>
        <v>2639</v>
      </c>
    </row>
    <row r="122" spans="1:8" ht="15.75" customHeight="1">
      <c r="A122" s="18" t="s">
        <v>153</v>
      </c>
      <c r="B122" s="19">
        <v>16</v>
      </c>
      <c r="C122" s="19">
        <v>39</v>
      </c>
      <c r="D122" s="19">
        <v>71</v>
      </c>
      <c r="E122" s="19" t="str">
        <f>LEFT(Table1[[#This Row],[Date]],10)</f>
        <v>2016-11-08</v>
      </c>
      <c r="F122" s="19" t="str">
        <f>RIGHT(Table1[[#This Row],[Date]], 2)</f>
        <v>23</v>
      </c>
      <c r="G122" s="19" t="str">
        <f>TEXT(Table1[[#This Row],[New Date]],"ddd")</f>
        <v>Tue</v>
      </c>
      <c r="H122" s="19">
        <f>Table1[[#This Row],[People saw +1 cars (unique)]]*Table1[[#This Row],[Coverage Ratio (unique)]]</f>
        <v>2769</v>
      </c>
    </row>
    <row r="123" spans="1:8" ht="15.75" customHeight="1">
      <c r="A123" s="18" t="s">
        <v>154</v>
      </c>
      <c r="B123" s="19">
        <v>12</v>
      </c>
      <c r="C123" s="19">
        <v>36</v>
      </c>
      <c r="D123" s="19">
        <v>75</v>
      </c>
      <c r="E123" s="19" t="str">
        <f>LEFT(Table1[[#This Row],[Date]],10)</f>
        <v>2016-11-08</v>
      </c>
      <c r="F123" s="19" t="str">
        <f>RIGHT(Table1[[#This Row],[Date]], 2)</f>
        <v>22</v>
      </c>
      <c r="G123" s="19" t="str">
        <f>TEXT(Table1[[#This Row],[New Date]],"ddd")</f>
        <v>Tue</v>
      </c>
      <c r="H123" s="19">
        <f>Table1[[#This Row],[People saw +1 cars (unique)]]*Table1[[#This Row],[Coverage Ratio (unique)]]</f>
        <v>2700</v>
      </c>
    </row>
    <row r="124" spans="1:8" ht="15.75" customHeight="1">
      <c r="A124" s="18" t="s">
        <v>155</v>
      </c>
      <c r="B124" s="19">
        <v>8</v>
      </c>
      <c r="C124" s="19">
        <v>36</v>
      </c>
      <c r="D124" s="19">
        <v>82</v>
      </c>
      <c r="E124" s="19" t="str">
        <f>LEFT(Table1[[#This Row],[Date]],10)</f>
        <v>2016-11-08</v>
      </c>
      <c r="F124" s="19" t="str">
        <f>RIGHT(Table1[[#This Row],[Date]], 2)</f>
        <v>21</v>
      </c>
      <c r="G124" s="19" t="str">
        <f>TEXT(Table1[[#This Row],[New Date]],"ddd")</f>
        <v>Tue</v>
      </c>
      <c r="H124" s="19">
        <f>Table1[[#This Row],[People saw +1 cars (unique)]]*Table1[[#This Row],[Coverage Ratio (unique)]]</f>
        <v>2952</v>
      </c>
    </row>
    <row r="125" spans="1:8" ht="15.75" customHeight="1">
      <c r="A125" s="18" t="s">
        <v>156</v>
      </c>
      <c r="B125" s="19">
        <v>16</v>
      </c>
      <c r="C125" s="19">
        <v>62</v>
      </c>
      <c r="D125" s="19">
        <v>79</v>
      </c>
      <c r="E125" s="19" t="str">
        <f>LEFT(Table1[[#This Row],[Date]],10)</f>
        <v>2016-11-08</v>
      </c>
      <c r="F125" s="19" t="str">
        <f>RIGHT(Table1[[#This Row],[Date]], 2)</f>
        <v>20</v>
      </c>
      <c r="G125" s="19" t="str">
        <f>TEXT(Table1[[#This Row],[New Date]],"ddd")</f>
        <v>Tue</v>
      </c>
      <c r="H125" s="19">
        <f>Table1[[#This Row],[People saw +1 cars (unique)]]*Table1[[#This Row],[Coverage Ratio (unique)]]</f>
        <v>4898</v>
      </c>
    </row>
    <row r="126" spans="1:8" ht="15.75" customHeight="1">
      <c r="A126" s="18" t="s">
        <v>157</v>
      </c>
      <c r="B126" s="19">
        <v>12</v>
      </c>
      <c r="C126" s="19">
        <v>66</v>
      </c>
      <c r="D126" s="19">
        <v>85</v>
      </c>
      <c r="E126" s="19" t="str">
        <f>LEFT(Table1[[#This Row],[Date]],10)</f>
        <v>2016-11-08</v>
      </c>
      <c r="F126" s="19" t="str">
        <f>RIGHT(Table1[[#This Row],[Date]], 2)</f>
        <v>19</v>
      </c>
      <c r="G126" s="19" t="str">
        <f>TEXT(Table1[[#This Row],[New Date]],"ddd")</f>
        <v>Tue</v>
      </c>
      <c r="H126" s="19">
        <f>Table1[[#This Row],[People saw +1 cars (unique)]]*Table1[[#This Row],[Coverage Ratio (unique)]]</f>
        <v>5610</v>
      </c>
    </row>
    <row r="127" spans="1:8" ht="15.75" customHeight="1">
      <c r="A127" s="18" t="s">
        <v>158</v>
      </c>
      <c r="B127" s="19">
        <v>42</v>
      </c>
      <c r="C127" s="19">
        <v>52</v>
      </c>
      <c r="D127" s="19">
        <v>55</v>
      </c>
      <c r="E127" s="19" t="str">
        <f>LEFT(Table1[[#This Row],[Date]],10)</f>
        <v>2016-11-08</v>
      </c>
      <c r="F127" s="19" t="str">
        <f>RIGHT(Table1[[#This Row],[Date]], 2)</f>
        <v>18</v>
      </c>
      <c r="G127" s="19" t="str">
        <f>TEXT(Table1[[#This Row],[New Date]],"ddd")</f>
        <v>Tue</v>
      </c>
      <c r="H127" s="19">
        <f>Table1[[#This Row],[People saw +1 cars (unique)]]*Table1[[#This Row],[Coverage Ratio (unique)]]</f>
        <v>2860</v>
      </c>
    </row>
    <row r="128" spans="1:8" ht="15.75" customHeight="1">
      <c r="A128" s="18" t="s">
        <v>159</v>
      </c>
      <c r="B128" s="19">
        <v>13</v>
      </c>
      <c r="C128" s="19">
        <v>52</v>
      </c>
      <c r="D128" s="19">
        <v>80</v>
      </c>
      <c r="E128" s="19" t="str">
        <f>LEFT(Table1[[#This Row],[Date]],10)</f>
        <v>2016-11-08</v>
      </c>
      <c r="F128" s="19" t="str">
        <f>RIGHT(Table1[[#This Row],[Date]], 2)</f>
        <v>17</v>
      </c>
      <c r="G128" s="19" t="str">
        <f>TEXT(Table1[[#This Row],[New Date]],"ddd")</f>
        <v>Tue</v>
      </c>
      <c r="H128" s="19">
        <f>Table1[[#This Row],[People saw +1 cars (unique)]]*Table1[[#This Row],[Coverage Ratio (unique)]]</f>
        <v>4160</v>
      </c>
    </row>
    <row r="129" spans="1:8" ht="15.75" customHeight="1">
      <c r="A129" s="18" t="s">
        <v>160</v>
      </c>
      <c r="B129" s="19">
        <v>2</v>
      </c>
      <c r="C129" s="19">
        <v>23</v>
      </c>
      <c r="D129" s="19">
        <v>92</v>
      </c>
      <c r="E129" s="19" t="str">
        <f>LEFT(Table1[[#This Row],[Date]],10)</f>
        <v>2016-11-08</v>
      </c>
      <c r="F129" s="19" t="str">
        <f>RIGHT(Table1[[#This Row],[Date]], 2)</f>
        <v>16</v>
      </c>
      <c r="G129" s="19" t="str">
        <f>TEXT(Table1[[#This Row],[New Date]],"ddd")</f>
        <v>Tue</v>
      </c>
      <c r="H129" s="19">
        <f>Table1[[#This Row],[People saw +1 cars (unique)]]*Table1[[#This Row],[Coverage Ratio (unique)]]</f>
        <v>2116</v>
      </c>
    </row>
    <row r="130" spans="1:8" ht="15.75" customHeight="1">
      <c r="A130" s="18" t="s">
        <v>161</v>
      </c>
      <c r="B130" s="19">
        <v>1</v>
      </c>
      <c r="C130" s="19">
        <v>21</v>
      </c>
      <c r="D130" s="19">
        <v>95</v>
      </c>
      <c r="E130" s="19" t="str">
        <f>LEFT(Table1[[#This Row],[Date]],10)</f>
        <v>2016-11-08</v>
      </c>
      <c r="F130" s="19" t="str">
        <f>RIGHT(Table1[[#This Row],[Date]], 2)</f>
        <v>15</v>
      </c>
      <c r="G130" s="19" t="str">
        <f>TEXT(Table1[[#This Row],[New Date]],"ddd")</f>
        <v>Tue</v>
      </c>
      <c r="H130" s="19">
        <f>Table1[[#This Row],[People saw +1 cars (unique)]]*Table1[[#This Row],[Coverage Ratio (unique)]]</f>
        <v>1995</v>
      </c>
    </row>
    <row r="131" spans="1:8" ht="15.75" customHeight="1">
      <c r="A131" s="18" t="s">
        <v>162</v>
      </c>
      <c r="B131" s="19">
        <v>5</v>
      </c>
      <c r="C131" s="19">
        <v>26</v>
      </c>
      <c r="D131" s="19">
        <v>84</v>
      </c>
      <c r="E131" s="19" t="str">
        <f>LEFT(Table1[[#This Row],[Date]],10)</f>
        <v>2016-11-08</v>
      </c>
      <c r="F131" s="19" t="str">
        <f>RIGHT(Table1[[#This Row],[Date]], 2)</f>
        <v>14</v>
      </c>
      <c r="G131" s="19" t="str">
        <f>TEXT(Table1[[#This Row],[New Date]],"ddd")</f>
        <v>Tue</v>
      </c>
      <c r="H131" s="19">
        <f>Table1[[#This Row],[People saw +1 cars (unique)]]*Table1[[#This Row],[Coverage Ratio (unique)]]</f>
        <v>2184</v>
      </c>
    </row>
    <row r="132" spans="1:8" ht="15.75" customHeight="1">
      <c r="A132" s="18" t="s">
        <v>163</v>
      </c>
      <c r="B132" s="19">
        <v>3</v>
      </c>
      <c r="C132" s="19">
        <v>30</v>
      </c>
      <c r="D132" s="19">
        <v>91</v>
      </c>
      <c r="E132" s="19" t="str">
        <f>LEFT(Table1[[#This Row],[Date]],10)</f>
        <v>2016-11-08</v>
      </c>
      <c r="F132" s="19" t="str">
        <f>RIGHT(Table1[[#This Row],[Date]], 2)</f>
        <v>13</v>
      </c>
      <c r="G132" s="19" t="str">
        <f>TEXT(Table1[[#This Row],[New Date]],"ddd")</f>
        <v>Tue</v>
      </c>
      <c r="H132" s="19">
        <f>Table1[[#This Row],[People saw +1 cars (unique)]]*Table1[[#This Row],[Coverage Ratio (unique)]]</f>
        <v>2730</v>
      </c>
    </row>
    <row r="133" spans="1:8" ht="15.75" customHeight="1">
      <c r="A133" s="18" t="s">
        <v>164</v>
      </c>
      <c r="B133" s="19">
        <v>3</v>
      </c>
      <c r="C133" s="19">
        <v>21</v>
      </c>
      <c r="D133" s="19">
        <v>88</v>
      </c>
      <c r="E133" s="19" t="str">
        <f>LEFT(Table1[[#This Row],[Date]],10)</f>
        <v>2016-11-08</v>
      </c>
      <c r="F133" s="19" t="str">
        <f>RIGHT(Table1[[#This Row],[Date]], 2)</f>
        <v>12</v>
      </c>
      <c r="G133" s="19" t="str">
        <f>TEXT(Table1[[#This Row],[New Date]],"ddd")</f>
        <v>Tue</v>
      </c>
      <c r="H133" s="19">
        <f>Table1[[#This Row],[People saw +1 cars (unique)]]*Table1[[#This Row],[Coverage Ratio (unique)]]</f>
        <v>1848</v>
      </c>
    </row>
    <row r="134" spans="1:8" ht="15.75" customHeight="1">
      <c r="A134" s="18" t="s">
        <v>165</v>
      </c>
      <c r="B134" s="19">
        <v>5</v>
      </c>
      <c r="C134" s="19">
        <v>31</v>
      </c>
      <c r="D134" s="19">
        <v>86</v>
      </c>
      <c r="E134" s="19" t="str">
        <f>LEFT(Table1[[#This Row],[Date]],10)</f>
        <v>2016-11-08</v>
      </c>
      <c r="F134" s="19" t="str">
        <f>RIGHT(Table1[[#This Row],[Date]], 2)</f>
        <v>11</v>
      </c>
      <c r="G134" s="19" t="str">
        <f>TEXT(Table1[[#This Row],[New Date]],"ddd")</f>
        <v>Tue</v>
      </c>
      <c r="H134" s="19">
        <f>Table1[[#This Row],[People saw +1 cars (unique)]]*Table1[[#This Row],[Coverage Ratio (unique)]]</f>
        <v>2666</v>
      </c>
    </row>
    <row r="135" spans="1:8" ht="15.75" customHeight="1">
      <c r="A135" s="18" t="s">
        <v>166</v>
      </c>
      <c r="B135" s="19">
        <v>10</v>
      </c>
      <c r="C135" s="19">
        <v>31</v>
      </c>
      <c r="D135" s="19">
        <v>76</v>
      </c>
      <c r="E135" s="19" t="str">
        <f>LEFT(Table1[[#This Row],[Date]],10)</f>
        <v>2016-11-08</v>
      </c>
      <c r="F135" s="19" t="str">
        <f>RIGHT(Table1[[#This Row],[Date]], 2)</f>
        <v>10</v>
      </c>
      <c r="G135" s="19" t="str">
        <f>TEXT(Table1[[#This Row],[New Date]],"ddd")</f>
        <v>Tue</v>
      </c>
      <c r="H135" s="19">
        <f>Table1[[#This Row],[People saw +1 cars (unique)]]*Table1[[#This Row],[Coverage Ratio (unique)]]</f>
        <v>2356</v>
      </c>
    </row>
    <row r="136" spans="1:8" ht="15.75" customHeight="1">
      <c r="A136" s="18" t="s">
        <v>167</v>
      </c>
      <c r="B136" s="19">
        <v>16</v>
      </c>
      <c r="C136" s="19">
        <v>50</v>
      </c>
      <c r="D136" s="19">
        <v>76</v>
      </c>
      <c r="E136" s="19" t="str">
        <f>LEFT(Table1[[#This Row],[Date]],10)</f>
        <v>2016-11-08</v>
      </c>
      <c r="F136" s="19" t="str">
        <f>RIGHT(Table1[[#This Row],[Date]], 2)</f>
        <v>09</v>
      </c>
      <c r="G136" s="19" t="str">
        <f>TEXT(Table1[[#This Row],[New Date]],"ddd")</f>
        <v>Tue</v>
      </c>
      <c r="H136" s="19">
        <f>Table1[[#This Row],[People saw +1 cars (unique)]]*Table1[[#This Row],[Coverage Ratio (unique)]]</f>
        <v>3800</v>
      </c>
    </row>
    <row r="137" spans="1:8" ht="15.75" customHeight="1">
      <c r="A137" s="18" t="s">
        <v>168</v>
      </c>
      <c r="B137" s="19">
        <v>23</v>
      </c>
      <c r="C137" s="19">
        <v>48</v>
      </c>
      <c r="D137" s="19">
        <v>68</v>
      </c>
      <c r="E137" s="19" t="str">
        <f>LEFT(Table1[[#This Row],[Date]],10)</f>
        <v>2016-11-08</v>
      </c>
      <c r="F137" s="19" t="str">
        <f>RIGHT(Table1[[#This Row],[Date]], 2)</f>
        <v>08</v>
      </c>
      <c r="G137" s="19" t="str">
        <f>TEXT(Table1[[#This Row],[New Date]],"ddd")</f>
        <v>Tue</v>
      </c>
      <c r="H137" s="19">
        <f>Table1[[#This Row],[People saw +1 cars (unique)]]*Table1[[#This Row],[Coverage Ratio (unique)]]</f>
        <v>3264</v>
      </c>
    </row>
    <row r="138" spans="1:8" ht="15.75" customHeight="1">
      <c r="A138" s="18" t="s">
        <v>169</v>
      </c>
      <c r="B138" s="19">
        <v>12</v>
      </c>
      <c r="C138" s="19">
        <v>27</v>
      </c>
      <c r="D138" s="19">
        <v>69</v>
      </c>
      <c r="E138" s="19" t="str">
        <f>LEFT(Table1[[#This Row],[Date]],10)</f>
        <v>2016-11-08</v>
      </c>
      <c r="F138" s="19" t="str">
        <f>RIGHT(Table1[[#This Row],[Date]], 2)</f>
        <v>07</v>
      </c>
      <c r="G138" s="19" t="str">
        <f>TEXT(Table1[[#This Row],[New Date]],"ddd")</f>
        <v>Tue</v>
      </c>
      <c r="H138" s="19">
        <f>Table1[[#This Row],[People saw +1 cars (unique)]]*Table1[[#This Row],[Coverage Ratio (unique)]]</f>
        <v>1863</v>
      </c>
    </row>
    <row r="139" spans="1:8" ht="15.75" customHeight="1">
      <c r="A139" s="18" t="s">
        <v>170</v>
      </c>
      <c r="B139" s="19">
        <v>4</v>
      </c>
      <c r="C139" s="19">
        <v>11</v>
      </c>
      <c r="D139" s="19">
        <v>73</v>
      </c>
      <c r="E139" s="19" t="str">
        <f>LEFT(Table1[[#This Row],[Date]],10)</f>
        <v>2016-11-08</v>
      </c>
      <c r="F139" s="19" t="str">
        <f>RIGHT(Table1[[#This Row],[Date]], 2)</f>
        <v>06</v>
      </c>
      <c r="G139" s="19" t="str">
        <f>TEXT(Table1[[#This Row],[New Date]],"ddd")</f>
        <v>Tue</v>
      </c>
      <c r="H139" s="19">
        <f>Table1[[#This Row],[People saw +1 cars (unique)]]*Table1[[#This Row],[Coverage Ratio (unique)]]</f>
        <v>803</v>
      </c>
    </row>
    <row r="140" spans="1:8" ht="15.75" customHeight="1">
      <c r="A140" s="18" t="s">
        <v>171</v>
      </c>
      <c r="B140" s="19">
        <v>0</v>
      </c>
      <c r="C140" s="19">
        <v>2</v>
      </c>
      <c r="D140" s="19">
        <v>100</v>
      </c>
      <c r="E140" s="19" t="str">
        <f>LEFT(Table1[[#This Row],[Date]],10)</f>
        <v>2016-11-08</v>
      </c>
      <c r="F140" s="19" t="str">
        <f>RIGHT(Table1[[#This Row],[Date]], 2)</f>
        <v>05</v>
      </c>
      <c r="G140" s="19" t="str">
        <f>TEXT(Table1[[#This Row],[New Date]],"ddd")</f>
        <v>Tue</v>
      </c>
      <c r="H140" s="19">
        <f>Table1[[#This Row],[People saw +1 cars (unique)]]*Table1[[#This Row],[Coverage Ratio (unique)]]</f>
        <v>200</v>
      </c>
    </row>
    <row r="141" spans="1:8" ht="15.75" customHeight="1">
      <c r="A141" s="18" t="s">
        <v>172</v>
      </c>
      <c r="B141" s="19">
        <v>3</v>
      </c>
      <c r="C141" s="19">
        <v>4</v>
      </c>
      <c r="D141" s="19">
        <v>57</v>
      </c>
      <c r="E141" s="19" t="str">
        <f>LEFT(Table1[[#This Row],[Date]],10)</f>
        <v>2016-11-08</v>
      </c>
      <c r="F141" s="19" t="str">
        <f>RIGHT(Table1[[#This Row],[Date]], 2)</f>
        <v>04</v>
      </c>
      <c r="G141" s="19" t="str">
        <f>TEXT(Table1[[#This Row],[New Date]],"ddd")</f>
        <v>Tue</v>
      </c>
      <c r="H141" s="19">
        <f>Table1[[#This Row],[People saw +1 cars (unique)]]*Table1[[#This Row],[Coverage Ratio (unique)]]</f>
        <v>228</v>
      </c>
    </row>
    <row r="142" spans="1:8" ht="15.75" customHeight="1">
      <c r="A142" s="18" t="s">
        <v>173</v>
      </c>
      <c r="B142" s="19">
        <v>5</v>
      </c>
      <c r="C142" s="19">
        <v>4</v>
      </c>
      <c r="D142" s="19">
        <v>44</v>
      </c>
      <c r="E142" s="19" t="str">
        <f>LEFT(Table1[[#This Row],[Date]],10)</f>
        <v>2016-11-08</v>
      </c>
      <c r="F142" s="19" t="str">
        <f>RIGHT(Table1[[#This Row],[Date]], 2)</f>
        <v>03</v>
      </c>
      <c r="G142" s="19" t="str">
        <f>TEXT(Table1[[#This Row],[New Date]],"ddd")</f>
        <v>Tue</v>
      </c>
      <c r="H142" s="19">
        <f>Table1[[#This Row],[People saw +1 cars (unique)]]*Table1[[#This Row],[Coverage Ratio (unique)]]</f>
        <v>176</v>
      </c>
    </row>
    <row r="143" spans="1:8" ht="15.75" customHeight="1">
      <c r="A143" s="18" t="s">
        <v>174</v>
      </c>
      <c r="B143" s="19">
        <v>4</v>
      </c>
      <c r="C143" s="19">
        <v>5</v>
      </c>
      <c r="D143" s="19">
        <v>56</v>
      </c>
      <c r="E143" s="19" t="str">
        <f>LEFT(Table1[[#This Row],[Date]],10)</f>
        <v>2016-11-08</v>
      </c>
      <c r="F143" s="19" t="str">
        <f>RIGHT(Table1[[#This Row],[Date]], 2)</f>
        <v>02</v>
      </c>
      <c r="G143" s="19" t="str">
        <f>TEXT(Table1[[#This Row],[New Date]],"ddd")</f>
        <v>Tue</v>
      </c>
      <c r="H143" s="19">
        <f>Table1[[#This Row],[People saw +1 cars (unique)]]*Table1[[#This Row],[Coverage Ratio (unique)]]</f>
        <v>280</v>
      </c>
    </row>
    <row r="144" spans="1:8" ht="15.75" customHeight="1">
      <c r="A144" s="18" t="s">
        <v>175</v>
      </c>
      <c r="B144" s="19">
        <v>1</v>
      </c>
      <c r="C144" s="19">
        <v>5</v>
      </c>
      <c r="D144" s="19">
        <v>83</v>
      </c>
      <c r="E144" s="19" t="str">
        <f>LEFT(Table1[[#This Row],[Date]],10)</f>
        <v>2016-11-08</v>
      </c>
      <c r="F144" s="19" t="str">
        <f>RIGHT(Table1[[#This Row],[Date]], 2)</f>
        <v>01</v>
      </c>
      <c r="G144" s="19" t="str">
        <f>TEXT(Table1[[#This Row],[New Date]],"ddd")</f>
        <v>Tue</v>
      </c>
      <c r="H144" s="19">
        <f>Table1[[#This Row],[People saw +1 cars (unique)]]*Table1[[#This Row],[Coverage Ratio (unique)]]</f>
        <v>415</v>
      </c>
    </row>
    <row r="145" spans="1:8" ht="15.75" customHeight="1">
      <c r="A145" s="18" t="s">
        <v>176</v>
      </c>
      <c r="B145" s="19">
        <v>1</v>
      </c>
      <c r="C145" s="19">
        <v>15</v>
      </c>
      <c r="D145" s="19">
        <v>94</v>
      </c>
      <c r="E145" s="19" t="str">
        <f>LEFT(Table1[[#This Row],[Date]],10)</f>
        <v>2016-11-08</v>
      </c>
      <c r="F145" s="19" t="str">
        <f>RIGHT(Table1[[#This Row],[Date]], 2)</f>
        <v>00</v>
      </c>
      <c r="G145" s="19" t="str">
        <f>TEXT(Table1[[#This Row],[New Date]],"ddd")</f>
        <v>Tue</v>
      </c>
      <c r="H145" s="19">
        <f>Table1[[#This Row],[People saw +1 cars (unique)]]*Table1[[#This Row],[Coverage Ratio (unique)]]</f>
        <v>1410</v>
      </c>
    </row>
    <row r="146" spans="1:8" ht="15.75" customHeight="1">
      <c r="A146" s="18" t="s">
        <v>177</v>
      </c>
      <c r="B146" s="19">
        <v>9</v>
      </c>
      <c r="C146" s="19">
        <v>27</v>
      </c>
      <c r="D146" s="19">
        <v>75</v>
      </c>
      <c r="E146" s="19" t="str">
        <f>LEFT(Table1[[#This Row],[Date]],10)</f>
        <v>2016-11-07</v>
      </c>
      <c r="F146" s="19" t="str">
        <f>RIGHT(Table1[[#This Row],[Date]], 2)</f>
        <v>23</v>
      </c>
      <c r="G146" s="19" t="str">
        <f>TEXT(Table1[[#This Row],[New Date]],"ddd")</f>
        <v>Mon</v>
      </c>
      <c r="H146" s="19">
        <f>Table1[[#This Row],[People saw +1 cars (unique)]]*Table1[[#This Row],[Coverage Ratio (unique)]]</f>
        <v>2025</v>
      </c>
    </row>
    <row r="147" spans="1:8" ht="15.75" customHeight="1">
      <c r="A147" s="18" t="s">
        <v>178</v>
      </c>
      <c r="B147" s="19">
        <v>4</v>
      </c>
      <c r="C147" s="19">
        <v>27</v>
      </c>
      <c r="D147" s="19">
        <v>87</v>
      </c>
      <c r="E147" s="19" t="str">
        <f>LEFT(Table1[[#This Row],[Date]],10)</f>
        <v>2016-11-07</v>
      </c>
      <c r="F147" s="19" t="str">
        <f>RIGHT(Table1[[#This Row],[Date]], 2)</f>
        <v>22</v>
      </c>
      <c r="G147" s="19" t="str">
        <f>TEXT(Table1[[#This Row],[New Date]],"ddd")</f>
        <v>Mon</v>
      </c>
      <c r="H147" s="19">
        <f>Table1[[#This Row],[People saw +1 cars (unique)]]*Table1[[#This Row],[Coverage Ratio (unique)]]</f>
        <v>2349</v>
      </c>
    </row>
    <row r="148" spans="1:8" ht="15.75" customHeight="1">
      <c r="A148" s="18" t="s">
        <v>179</v>
      </c>
      <c r="B148" s="19">
        <v>7</v>
      </c>
      <c r="C148" s="19">
        <v>40</v>
      </c>
      <c r="D148" s="19">
        <v>85</v>
      </c>
      <c r="E148" s="19" t="str">
        <f>LEFT(Table1[[#This Row],[Date]],10)</f>
        <v>2016-11-07</v>
      </c>
      <c r="F148" s="19" t="str">
        <f>RIGHT(Table1[[#This Row],[Date]], 2)</f>
        <v>21</v>
      </c>
      <c r="G148" s="19" t="str">
        <f>TEXT(Table1[[#This Row],[New Date]],"ddd")</f>
        <v>Mon</v>
      </c>
      <c r="H148" s="19">
        <f>Table1[[#This Row],[People saw +1 cars (unique)]]*Table1[[#This Row],[Coverage Ratio (unique)]]</f>
        <v>3400</v>
      </c>
    </row>
    <row r="149" spans="1:8" ht="15.75" customHeight="1">
      <c r="A149" s="18" t="s">
        <v>180</v>
      </c>
      <c r="B149" s="19">
        <v>4</v>
      </c>
      <c r="C149" s="19">
        <v>27</v>
      </c>
      <c r="D149" s="19">
        <v>87</v>
      </c>
      <c r="E149" s="19" t="str">
        <f>LEFT(Table1[[#This Row],[Date]],10)</f>
        <v>2016-11-07</v>
      </c>
      <c r="F149" s="19" t="str">
        <f>RIGHT(Table1[[#This Row],[Date]], 2)</f>
        <v>20</v>
      </c>
      <c r="G149" s="19" t="str">
        <f>TEXT(Table1[[#This Row],[New Date]],"ddd")</f>
        <v>Mon</v>
      </c>
      <c r="H149" s="19">
        <f>Table1[[#This Row],[People saw +1 cars (unique)]]*Table1[[#This Row],[Coverage Ratio (unique)]]</f>
        <v>2349</v>
      </c>
    </row>
    <row r="150" spans="1:8" ht="15.75" customHeight="1">
      <c r="A150" s="18" t="s">
        <v>181</v>
      </c>
      <c r="B150" s="19">
        <v>9</v>
      </c>
      <c r="C150" s="19">
        <v>46</v>
      </c>
      <c r="D150" s="19">
        <v>84</v>
      </c>
      <c r="E150" s="19" t="str">
        <f>LEFT(Table1[[#This Row],[Date]],10)</f>
        <v>2016-11-07</v>
      </c>
      <c r="F150" s="19" t="str">
        <f>RIGHT(Table1[[#This Row],[Date]], 2)</f>
        <v>19</v>
      </c>
      <c r="G150" s="19" t="str">
        <f>TEXT(Table1[[#This Row],[New Date]],"ddd")</f>
        <v>Mon</v>
      </c>
      <c r="H150" s="19">
        <f>Table1[[#This Row],[People saw +1 cars (unique)]]*Table1[[#This Row],[Coverage Ratio (unique)]]</f>
        <v>3864</v>
      </c>
    </row>
    <row r="151" spans="1:8" ht="15.75" customHeight="1">
      <c r="A151" s="18" t="s">
        <v>182</v>
      </c>
      <c r="B151" s="19">
        <v>2</v>
      </c>
      <c r="C151" s="19">
        <v>47</v>
      </c>
      <c r="D151" s="19">
        <v>96</v>
      </c>
      <c r="E151" s="19" t="str">
        <f>LEFT(Table1[[#This Row],[Date]],10)</f>
        <v>2016-11-07</v>
      </c>
      <c r="F151" s="19" t="str">
        <f>RIGHT(Table1[[#This Row],[Date]], 2)</f>
        <v>18</v>
      </c>
      <c r="G151" s="19" t="str">
        <f>TEXT(Table1[[#This Row],[New Date]],"ddd")</f>
        <v>Mon</v>
      </c>
      <c r="H151" s="19">
        <f>Table1[[#This Row],[People saw +1 cars (unique)]]*Table1[[#This Row],[Coverage Ratio (unique)]]</f>
        <v>4512</v>
      </c>
    </row>
    <row r="152" spans="1:8" ht="15.75" customHeight="1">
      <c r="A152" s="18" t="s">
        <v>183</v>
      </c>
      <c r="B152" s="19">
        <v>1</v>
      </c>
      <c r="C152" s="19">
        <v>32</v>
      </c>
      <c r="D152" s="19">
        <v>97</v>
      </c>
      <c r="E152" s="19" t="str">
        <f>LEFT(Table1[[#This Row],[Date]],10)</f>
        <v>2016-11-07</v>
      </c>
      <c r="F152" s="19" t="str">
        <f>RIGHT(Table1[[#This Row],[Date]], 2)</f>
        <v>17</v>
      </c>
      <c r="G152" s="19" t="str">
        <f>TEXT(Table1[[#This Row],[New Date]],"ddd")</f>
        <v>Mon</v>
      </c>
      <c r="H152" s="19">
        <f>Table1[[#This Row],[People saw +1 cars (unique)]]*Table1[[#This Row],[Coverage Ratio (unique)]]</f>
        <v>3104</v>
      </c>
    </row>
    <row r="153" spans="1:8" ht="15.75" customHeight="1">
      <c r="A153" s="18" t="s">
        <v>184</v>
      </c>
      <c r="B153" s="19">
        <v>0</v>
      </c>
      <c r="C153" s="19">
        <v>35</v>
      </c>
      <c r="D153" s="19">
        <v>100</v>
      </c>
      <c r="E153" s="19" t="str">
        <f>LEFT(Table1[[#This Row],[Date]],10)</f>
        <v>2016-11-07</v>
      </c>
      <c r="F153" s="19" t="str">
        <f>RIGHT(Table1[[#This Row],[Date]], 2)</f>
        <v>16</v>
      </c>
      <c r="G153" s="19" t="str">
        <f>TEXT(Table1[[#This Row],[New Date]],"ddd")</f>
        <v>Mon</v>
      </c>
      <c r="H153" s="19">
        <f>Table1[[#This Row],[People saw +1 cars (unique)]]*Table1[[#This Row],[Coverage Ratio (unique)]]</f>
        <v>3500</v>
      </c>
    </row>
    <row r="154" spans="1:8" ht="15.75" customHeight="1">
      <c r="A154" s="18" t="s">
        <v>185</v>
      </c>
      <c r="B154" s="19">
        <v>3</v>
      </c>
      <c r="C154" s="19">
        <v>31</v>
      </c>
      <c r="D154" s="19">
        <v>91</v>
      </c>
      <c r="E154" s="19" t="str">
        <f>LEFT(Table1[[#This Row],[Date]],10)</f>
        <v>2016-11-07</v>
      </c>
      <c r="F154" s="19" t="str">
        <f>RIGHT(Table1[[#This Row],[Date]], 2)</f>
        <v>15</v>
      </c>
      <c r="G154" s="19" t="str">
        <f>TEXT(Table1[[#This Row],[New Date]],"ddd")</f>
        <v>Mon</v>
      </c>
      <c r="H154" s="19">
        <f>Table1[[#This Row],[People saw +1 cars (unique)]]*Table1[[#This Row],[Coverage Ratio (unique)]]</f>
        <v>2821</v>
      </c>
    </row>
    <row r="155" spans="1:8" ht="15.75" customHeight="1">
      <c r="A155" s="18" t="s">
        <v>186</v>
      </c>
      <c r="B155" s="19">
        <v>2</v>
      </c>
      <c r="C155" s="19">
        <v>15</v>
      </c>
      <c r="D155" s="19">
        <v>88</v>
      </c>
      <c r="E155" s="19" t="str">
        <f>LEFT(Table1[[#This Row],[Date]],10)</f>
        <v>2016-11-07</v>
      </c>
      <c r="F155" s="19" t="str">
        <f>RIGHT(Table1[[#This Row],[Date]], 2)</f>
        <v>14</v>
      </c>
      <c r="G155" s="19" t="str">
        <f>TEXT(Table1[[#This Row],[New Date]],"ddd")</f>
        <v>Mon</v>
      </c>
      <c r="H155" s="19">
        <f>Table1[[#This Row],[People saw +1 cars (unique)]]*Table1[[#This Row],[Coverage Ratio (unique)]]</f>
        <v>1320</v>
      </c>
    </row>
    <row r="156" spans="1:8" ht="15.75" customHeight="1">
      <c r="A156" s="18" t="s">
        <v>187</v>
      </c>
      <c r="B156" s="19">
        <v>5</v>
      </c>
      <c r="C156" s="19">
        <v>23</v>
      </c>
      <c r="D156" s="19">
        <v>82</v>
      </c>
      <c r="E156" s="19" t="str">
        <f>LEFT(Table1[[#This Row],[Date]],10)</f>
        <v>2016-11-07</v>
      </c>
      <c r="F156" s="19" t="str">
        <f>RIGHT(Table1[[#This Row],[Date]], 2)</f>
        <v>13</v>
      </c>
      <c r="G156" s="19" t="str">
        <f>TEXT(Table1[[#This Row],[New Date]],"ddd")</f>
        <v>Mon</v>
      </c>
      <c r="H156" s="19">
        <f>Table1[[#This Row],[People saw +1 cars (unique)]]*Table1[[#This Row],[Coverage Ratio (unique)]]</f>
        <v>1886</v>
      </c>
    </row>
    <row r="157" spans="1:8" ht="15.75" customHeight="1">
      <c r="A157" s="18" t="s">
        <v>188</v>
      </c>
      <c r="B157" s="19">
        <v>4</v>
      </c>
      <c r="C157" s="19">
        <v>18</v>
      </c>
      <c r="D157" s="19">
        <v>82</v>
      </c>
      <c r="E157" s="19" t="str">
        <f>LEFT(Table1[[#This Row],[Date]],10)</f>
        <v>2016-11-07</v>
      </c>
      <c r="F157" s="19" t="str">
        <f>RIGHT(Table1[[#This Row],[Date]], 2)</f>
        <v>12</v>
      </c>
      <c r="G157" s="19" t="str">
        <f>TEXT(Table1[[#This Row],[New Date]],"ddd")</f>
        <v>Mon</v>
      </c>
      <c r="H157" s="19">
        <f>Table1[[#This Row],[People saw +1 cars (unique)]]*Table1[[#This Row],[Coverage Ratio (unique)]]</f>
        <v>1476</v>
      </c>
    </row>
    <row r="158" spans="1:8" ht="15.75" customHeight="1">
      <c r="A158" s="18" t="s">
        <v>189</v>
      </c>
      <c r="B158" s="19">
        <v>7</v>
      </c>
      <c r="C158" s="19">
        <v>23</v>
      </c>
      <c r="D158" s="19">
        <v>77</v>
      </c>
      <c r="E158" s="19" t="str">
        <f>LEFT(Table1[[#This Row],[Date]],10)</f>
        <v>2016-11-07</v>
      </c>
      <c r="F158" s="19" t="str">
        <f>RIGHT(Table1[[#This Row],[Date]], 2)</f>
        <v>11</v>
      </c>
      <c r="G158" s="19" t="str">
        <f>TEXT(Table1[[#This Row],[New Date]],"ddd")</f>
        <v>Mon</v>
      </c>
      <c r="H158" s="19">
        <f>Table1[[#This Row],[People saw +1 cars (unique)]]*Table1[[#This Row],[Coverage Ratio (unique)]]</f>
        <v>1771</v>
      </c>
    </row>
    <row r="159" spans="1:8" ht="15.75" customHeight="1">
      <c r="A159" s="18" t="s">
        <v>190</v>
      </c>
      <c r="B159" s="19">
        <v>22</v>
      </c>
      <c r="C159" s="19">
        <v>28</v>
      </c>
      <c r="D159" s="19">
        <v>56</v>
      </c>
      <c r="E159" s="19" t="str">
        <f>LEFT(Table1[[#This Row],[Date]],10)</f>
        <v>2016-11-07</v>
      </c>
      <c r="F159" s="19" t="str">
        <f>RIGHT(Table1[[#This Row],[Date]], 2)</f>
        <v>10</v>
      </c>
      <c r="G159" s="19" t="str">
        <f>TEXT(Table1[[#This Row],[New Date]],"ddd")</f>
        <v>Mon</v>
      </c>
      <c r="H159" s="19">
        <f>Table1[[#This Row],[People saw +1 cars (unique)]]*Table1[[#This Row],[Coverage Ratio (unique)]]</f>
        <v>1568</v>
      </c>
    </row>
    <row r="160" spans="1:8" ht="15.75" customHeight="1">
      <c r="A160" s="18" t="s">
        <v>191</v>
      </c>
      <c r="B160" s="19">
        <v>35</v>
      </c>
      <c r="C160" s="19">
        <v>49</v>
      </c>
      <c r="D160" s="19">
        <v>58</v>
      </c>
      <c r="E160" s="19" t="str">
        <f>LEFT(Table1[[#This Row],[Date]],10)</f>
        <v>2016-11-07</v>
      </c>
      <c r="F160" s="19" t="str">
        <f>RIGHT(Table1[[#This Row],[Date]], 2)</f>
        <v>09</v>
      </c>
      <c r="G160" s="19" t="str">
        <f>TEXT(Table1[[#This Row],[New Date]],"ddd")</f>
        <v>Mon</v>
      </c>
      <c r="H160" s="19">
        <f>Table1[[#This Row],[People saw +1 cars (unique)]]*Table1[[#This Row],[Coverage Ratio (unique)]]</f>
        <v>2842</v>
      </c>
    </row>
    <row r="161" spans="1:8" ht="15.75" customHeight="1">
      <c r="A161" s="18" t="s">
        <v>192</v>
      </c>
      <c r="B161" s="19">
        <v>28</v>
      </c>
      <c r="C161" s="19">
        <v>32</v>
      </c>
      <c r="D161" s="19">
        <v>53</v>
      </c>
      <c r="E161" s="19" t="str">
        <f>LEFT(Table1[[#This Row],[Date]],10)</f>
        <v>2016-11-07</v>
      </c>
      <c r="F161" s="19" t="str">
        <f>RIGHT(Table1[[#This Row],[Date]], 2)</f>
        <v>08</v>
      </c>
      <c r="G161" s="19" t="str">
        <f>TEXT(Table1[[#This Row],[New Date]],"ddd")</f>
        <v>Mon</v>
      </c>
      <c r="H161" s="19">
        <f>Table1[[#This Row],[People saw +1 cars (unique)]]*Table1[[#This Row],[Coverage Ratio (unique)]]</f>
        <v>1696</v>
      </c>
    </row>
    <row r="162" spans="1:8" ht="15.75" customHeight="1">
      <c r="A162" s="18" t="s">
        <v>193</v>
      </c>
      <c r="B162" s="19">
        <v>14</v>
      </c>
      <c r="C162" s="19">
        <v>18</v>
      </c>
      <c r="D162" s="19">
        <v>56</v>
      </c>
      <c r="E162" s="19" t="str">
        <f>LEFT(Table1[[#This Row],[Date]],10)</f>
        <v>2016-11-07</v>
      </c>
      <c r="F162" s="19" t="str">
        <f>RIGHT(Table1[[#This Row],[Date]], 2)</f>
        <v>07</v>
      </c>
      <c r="G162" s="19" t="str">
        <f>TEXT(Table1[[#This Row],[New Date]],"ddd")</f>
        <v>Mon</v>
      </c>
      <c r="H162" s="19">
        <f>Table1[[#This Row],[People saw +1 cars (unique)]]*Table1[[#This Row],[Coverage Ratio (unique)]]</f>
        <v>1008</v>
      </c>
    </row>
    <row r="163" spans="1:8" ht="15.75" customHeight="1">
      <c r="A163" s="18" t="s">
        <v>194</v>
      </c>
      <c r="B163" s="19">
        <v>7</v>
      </c>
      <c r="C163" s="19">
        <v>4</v>
      </c>
      <c r="D163" s="19">
        <v>36</v>
      </c>
      <c r="E163" s="19" t="str">
        <f>LEFT(Table1[[#This Row],[Date]],10)</f>
        <v>2016-11-07</v>
      </c>
      <c r="F163" s="19" t="str">
        <f>RIGHT(Table1[[#This Row],[Date]], 2)</f>
        <v>06</v>
      </c>
      <c r="G163" s="19" t="str">
        <f>TEXT(Table1[[#This Row],[New Date]],"ddd")</f>
        <v>Mon</v>
      </c>
      <c r="H163" s="19">
        <f>Table1[[#This Row],[People saw +1 cars (unique)]]*Table1[[#This Row],[Coverage Ratio (unique)]]</f>
        <v>144</v>
      </c>
    </row>
    <row r="164" spans="1:8" ht="15.75" customHeight="1">
      <c r="A164" s="18" t="s">
        <v>195</v>
      </c>
      <c r="B164" s="19">
        <v>3</v>
      </c>
      <c r="C164" s="19">
        <v>3</v>
      </c>
      <c r="D164" s="19">
        <v>50</v>
      </c>
      <c r="E164" s="19" t="str">
        <f>LEFT(Table1[[#This Row],[Date]],10)</f>
        <v>2016-11-07</v>
      </c>
      <c r="F164" s="19" t="str">
        <f>RIGHT(Table1[[#This Row],[Date]], 2)</f>
        <v>05</v>
      </c>
      <c r="G164" s="19" t="str">
        <f>TEXT(Table1[[#This Row],[New Date]],"ddd")</f>
        <v>Mon</v>
      </c>
      <c r="H164" s="19">
        <f>Table1[[#This Row],[People saw +1 cars (unique)]]*Table1[[#This Row],[Coverage Ratio (unique)]]</f>
        <v>150</v>
      </c>
    </row>
    <row r="165" spans="1:8" ht="15.75" customHeight="1">
      <c r="A165" s="18" t="s">
        <v>196</v>
      </c>
      <c r="B165" s="19">
        <v>2</v>
      </c>
      <c r="C165" s="19">
        <v>2</v>
      </c>
      <c r="D165" s="19">
        <v>50</v>
      </c>
      <c r="E165" s="19" t="str">
        <f>LEFT(Table1[[#This Row],[Date]],10)</f>
        <v>2016-11-07</v>
      </c>
      <c r="F165" s="19" t="str">
        <f>RIGHT(Table1[[#This Row],[Date]], 2)</f>
        <v>04</v>
      </c>
      <c r="G165" s="19" t="str">
        <f>TEXT(Table1[[#This Row],[New Date]],"ddd")</f>
        <v>Mon</v>
      </c>
      <c r="H165" s="19">
        <f>Table1[[#This Row],[People saw +1 cars (unique)]]*Table1[[#This Row],[Coverage Ratio (unique)]]</f>
        <v>100</v>
      </c>
    </row>
    <row r="166" spans="1:8" ht="15.75" customHeight="1">
      <c r="A166" s="18" t="s">
        <v>197</v>
      </c>
      <c r="B166" s="19">
        <v>2</v>
      </c>
      <c r="C166" s="19">
        <v>0</v>
      </c>
      <c r="D166" s="19">
        <v>0</v>
      </c>
      <c r="E166" s="19" t="str">
        <f>LEFT(Table1[[#This Row],[Date]],10)</f>
        <v>2016-11-07</v>
      </c>
      <c r="F166" s="19" t="str">
        <f>RIGHT(Table1[[#This Row],[Date]], 2)</f>
        <v>03</v>
      </c>
      <c r="G166" s="19" t="str">
        <f>TEXT(Table1[[#This Row],[New Date]],"ddd")</f>
        <v>Mon</v>
      </c>
      <c r="H166" s="19">
        <f>Table1[[#This Row],[People saw +1 cars (unique)]]*Table1[[#This Row],[Coverage Ratio (unique)]]</f>
        <v>0</v>
      </c>
    </row>
    <row r="167" spans="1:8" ht="15.75" customHeight="1">
      <c r="A167" s="18" t="s">
        <v>198</v>
      </c>
      <c r="B167" s="19">
        <v>2</v>
      </c>
      <c r="C167" s="19">
        <v>2</v>
      </c>
      <c r="D167" s="19">
        <v>50</v>
      </c>
      <c r="E167" s="19" t="str">
        <f>LEFT(Table1[[#This Row],[Date]],10)</f>
        <v>2016-11-07</v>
      </c>
      <c r="F167" s="19" t="str">
        <f>RIGHT(Table1[[#This Row],[Date]], 2)</f>
        <v>02</v>
      </c>
      <c r="G167" s="19" t="str">
        <f>TEXT(Table1[[#This Row],[New Date]],"ddd")</f>
        <v>Mon</v>
      </c>
      <c r="H167" s="19">
        <f>Table1[[#This Row],[People saw +1 cars (unique)]]*Table1[[#This Row],[Coverage Ratio (unique)]]</f>
        <v>100</v>
      </c>
    </row>
    <row r="168" spans="1:8" ht="15.75" customHeight="1">
      <c r="A168" s="18" t="s">
        <v>199</v>
      </c>
      <c r="B168" s="19">
        <v>4</v>
      </c>
      <c r="C168" s="19">
        <v>13</v>
      </c>
      <c r="D168" s="19">
        <v>76</v>
      </c>
      <c r="E168" s="19" t="str">
        <f>LEFT(Table1[[#This Row],[Date]],10)</f>
        <v>2016-11-07</v>
      </c>
      <c r="F168" s="19" t="str">
        <f>RIGHT(Table1[[#This Row],[Date]], 2)</f>
        <v>01</v>
      </c>
      <c r="G168" s="19" t="str">
        <f>TEXT(Table1[[#This Row],[New Date]],"ddd")</f>
        <v>Mon</v>
      </c>
      <c r="H168" s="19">
        <f>Table1[[#This Row],[People saw +1 cars (unique)]]*Table1[[#This Row],[Coverage Ratio (unique)]]</f>
        <v>988</v>
      </c>
    </row>
    <row r="169" spans="1:8" ht="15.75" customHeight="1">
      <c r="A169" s="18" t="s">
        <v>200</v>
      </c>
      <c r="B169" s="19">
        <v>5</v>
      </c>
      <c r="C169" s="19">
        <v>21</v>
      </c>
      <c r="D169" s="19">
        <v>81</v>
      </c>
      <c r="E169" s="19" t="str">
        <f>LEFT(Table1[[#This Row],[Date]],10)</f>
        <v>2016-11-07</v>
      </c>
      <c r="F169" s="19" t="str">
        <f>RIGHT(Table1[[#This Row],[Date]], 2)</f>
        <v>00</v>
      </c>
      <c r="G169" s="19" t="str">
        <f>TEXT(Table1[[#This Row],[New Date]],"ddd")</f>
        <v>Mon</v>
      </c>
      <c r="H169" s="19">
        <f>Table1[[#This Row],[People saw +1 cars (unique)]]*Table1[[#This Row],[Coverage Ratio (unique)]]</f>
        <v>1701</v>
      </c>
    </row>
    <row r="170" spans="1:8" ht="15.75" customHeight="1"/>
    <row r="171" spans="1:8" ht="15.75" customHeight="1"/>
    <row r="172" spans="1:8" ht="15.75" customHeight="1"/>
    <row r="173" spans="1:8" ht="15.75" customHeight="1"/>
    <row r="174" spans="1:8" ht="15.75" customHeight="1"/>
    <row r="175" spans="1:8" ht="15.75" customHeight="1"/>
    <row r="176" spans="1:8"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topLeftCell="E1" workbookViewId="0">
      <selection activeCell="M2" sqref="M2"/>
    </sheetView>
  </sheetViews>
  <sheetFormatPr defaultColWidth="14.453125" defaultRowHeight="15" customHeight="1"/>
  <cols>
    <col min="1" max="1" width="14.453125" customWidth="1"/>
    <col min="2" max="2" width="15.26953125" customWidth="1"/>
    <col min="3" max="3" width="11.7265625" customWidth="1"/>
    <col min="4" max="4" width="16.90625" customWidth="1"/>
    <col min="5" max="5" width="24.453125" customWidth="1"/>
    <col min="6" max="6" width="10" customWidth="1"/>
    <col min="7" max="7" width="23.90625" customWidth="1"/>
    <col min="8" max="8" width="22.453125" customWidth="1"/>
    <col min="9" max="9" width="15.90625" customWidth="1"/>
    <col min="10" max="10" width="12" bestFit="1" customWidth="1"/>
  </cols>
  <sheetData>
    <row r="1" spans="1:13" ht="15.5">
      <c r="A1" s="17" t="s">
        <v>29</v>
      </c>
      <c r="B1" s="17" t="s">
        <v>201</v>
      </c>
      <c r="C1" s="17" t="s">
        <v>202</v>
      </c>
      <c r="D1" s="17" t="s">
        <v>203</v>
      </c>
      <c r="E1" s="17" t="s">
        <v>204</v>
      </c>
      <c r="F1" s="17" t="s">
        <v>205</v>
      </c>
      <c r="G1" s="17" t="s">
        <v>206</v>
      </c>
      <c r="H1" s="17" t="s">
        <v>207</v>
      </c>
      <c r="I1" s="17" t="s">
        <v>208</v>
      </c>
      <c r="J1" s="17" t="s">
        <v>214</v>
      </c>
      <c r="K1" s="17" t="s">
        <v>215</v>
      </c>
      <c r="L1" s="17" t="s">
        <v>216</v>
      </c>
      <c r="M1" s="17" t="s">
        <v>259</v>
      </c>
    </row>
    <row r="2" spans="1:13" ht="15.5">
      <c r="A2" s="18" t="s">
        <v>33</v>
      </c>
      <c r="B2" s="19">
        <v>45</v>
      </c>
      <c r="C2" s="19">
        <v>22</v>
      </c>
      <c r="D2" s="19">
        <v>3</v>
      </c>
      <c r="E2" s="19">
        <v>19</v>
      </c>
      <c r="F2" s="19">
        <v>13</v>
      </c>
      <c r="G2" s="18">
        <v>0.5</v>
      </c>
      <c r="H2" s="18">
        <v>0.45</v>
      </c>
      <c r="I2" s="19">
        <v>10</v>
      </c>
      <c r="J2" s="31" t="str">
        <f>LEFT(Table2[[#This Row],[Date]],10)</f>
        <v>2016-11-13</v>
      </c>
      <c r="K2" s="19" t="str">
        <f>RIGHT(Table2[[#This Row],[Date]],2)</f>
        <v>23</v>
      </c>
      <c r="L2" s="19" t="str">
        <f>TEXT(Table2[[#This Row],[New Date]], "ddd")</f>
        <v>Sun</v>
      </c>
      <c r="M2" s="19" t="str">
        <f t="shared" ref="M2:M66" si="0">IF(OR(VALUE(F2)&lt;=5, VALUE(F2)&gt;=20), "Off-Peak", IF(OR(VALUE(F2)=7, VALUE(F2)=8, VALUE(F2)=9, VALUE(F2)=16, VALUE(F2)=17, VALUE(F2)=18), "Peak", "Moderate"))</f>
        <v>Moderate</v>
      </c>
    </row>
    <row r="3" spans="1:13" ht="15.5">
      <c r="A3" s="18" t="s">
        <v>34</v>
      </c>
      <c r="B3" s="19">
        <v>58</v>
      </c>
      <c r="C3" s="19">
        <v>23</v>
      </c>
      <c r="D3" s="19">
        <v>5</v>
      </c>
      <c r="E3" s="19">
        <v>18</v>
      </c>
      <c r="F3" s="19">
        <v>18</v>
      </c>
      <c r="G3" s="18">
        <v>0.4</v>
      </c>
      <c r="H3" s="18">
        <v>0.52</v>
      </c>
      <c r="I3" s="19">
        <v>12</v>
      </c>
      <c r="J3" s="31" t="str">
        <f>LEFT(Table2[[#This Row],[Date]],10)</f>
        <v>2016-11-13</v>
      </c>
      <c r="K3" s="19" t="str">
        <f>RIGHT(Table2[[#This Row],[Date]],2)</f>
        <v>22</v>
      </c>
      <c r="L3" s="19" t="str">
        <f>TEXT(Table2[[#This Row],[New Date]], "ddd")</f>
        <v>Sun</v>
      </c>
      <c r="M3" s="19" t="str">
        <f t="shared" si="0"/>
        <v>Peak</v>
      </c>
    </row>
    <row r="4" spans="1:13" ht="15.5">
      <c r="A4" s="18" t="s">
        <v>35</v>
      </c>
      <c r="B4" s="19">
        <v>72</v>
      </c>
      <c r="C4" s="19">
        <v>24</v>
      </c>
      <c r="D4" s="19">
        <v>6</v>
      </c>
      <c r="E4" s="19">
        <v>19</v>
      </c>
      <c r="F4" s="19">
        <v>20</v>
      </c>
      <c r="G4" s="18">
        <v>0.3</v>
      </c>
      <c r="H4" s="18">
        <v>0.71</v>
      </c>
      <c r="I4" s="19">
        <v>17</v>
      </c>
      <c r="J4" s="31" t="str">
        <f>LEFT(Table2[[#This Row],[Date]],10)</f>
        <v>2016-11-13</v>
      </c>
      <c r="K4" s="19" t="str">
        <f>RIGHT(Table2[[#This Row],[Date]],2)</f>
        <v>21</v>
      </c>
      <c r="L4" s="19" t="str">
        <f>TEXT(Table2[[#This Row],[New Date]], "ddd")</f>
        <v>Sun</v>
      </c>
      <c r="M4" s="19" t="str">
        <f t="shared" si="0"/>
        <v>Off-Peak</v>
      </c>
    </row>
    <row r="5" spans="1:13" ht="15.5">
      <c r="A5" s="18" t="s">
        <v>36</v>
      </c>
      <c r="B5" s="19">
        <v>74</v>
      </c>
      <c r="C5" s="19">
        <v>30</v>
      </c>
      <c r="D5" s="19">
        <v>5</v>
      </c>
      <c r="E5" s="19">
        <v>25</v>
      </c>
      <c r="F5" s="19">
        <v>17</v>
      </c>
      <c r="G5" s="18">
        <v>0.4</v>
      </c>
      <c r="H5" s="18">
        <v>0.47</v>
      </c>
      <c r="I5" s="19">
        <v>14</v>
      </c>
      <c r="J5" s="31" t="str">
        <f>LEFT(Table2[[#This Row],[Date]],10)</f>
        <v>2016-11-13</v>
      </c>
      <c r="K5" s="19" t="str">
        <f>RIGHT(Table2[[#This Row],[Date]],2)</f>
        <v>20</v>
      </c>
      <c r="L5" s="19" t="str">
        <f>TEXT(Table2[[#This Row],[New Date]], "ddd")</f>
        <v>Sun</v>
      </c>
      <c r="M5" s="19" t="str">
        <f t="shared" si="0"/>
        <v>Peak</v>
      </c>
    </row>
    <row r="6" spans="1:13" ht="15.5">
      <c r="A6" s="18" t="s">
        <v>37</v>
      </c>
      <c r="B6" s="19">
        <v>58</v>
      </c>
      <c r="C6" s="19">
        <v>26</v>
      </c>
      <c r="D6" s="19">
        <v>4</v>
      </c>
      <c r="E6" s="19">
        <v>22</v>
      </c>
      <c r="F6" s="19">
        <v>17</v>
      </c>
      <c r="G6" s="18">
        <v>0.4</v>
      </c>
      <c r="H6" s="18">
        <v>0.46</v>
      </c>
      <c r="I6" s="19">
        <v>12</v>
      </c>
      <c r="J6" s="31" t="str">
        <f>LEFT(Table2[[#This Row],[Date]],10)</f>
        <v>2016-11-13</v>
      </c>
      <c r="K6" s="19" t="str">
        <f>RIGHT(Table2[[#This Row],[Date]],2)</f>
        <v>19</v>
      </c>
      <c r="L6" s="19" t="str">
        <f>TEXT(Table2[[#This Row],[New Date]], "ddd")</f>
        <v>Sun</v>
      </c>
      <c r="M6" s="19" t="str">
        <f t="shared" si="0"/>
        <v>Peak</v>
      </c>
    </row>
    <row r="7" spans="1:13" ht="15.5">
      <c r="A7" s="18" t="s">
        <v>38</v>
      </c>
      <c r="B7" s="19">
        <v>64</v>
      </c>
      <c r="C7" s="19">
        <v>25</v>
      </c>
      <c r="D7" s="19">
        <v>6</v>
      </c>
      <c r="E7" s="19">
        <v>19</v>
      </c>
      <c r="F7" s="19">
        <v>14</v>
      </c>
      <c r="G7" s="18">
        <v>0.4</v>
      </c>
      <c r="H7" s="18">
        <v>0.44</v>
      </c>
      <c r="I7" s="19">
        <v>11</v>
      </c>
      <c r="J7" s="31" t="str">
        <f>LEFT(Table2[[#This Row],[Date]],10)</f>
        <v>2016-11-13</v>
      </c>
      <c r="K7" s="19" t="str">
        <f>RIGHT(Table2[[#This Row],[Date]],2)</f>
        <v>18</v>
      </c>
      <c r="L7" s="19" t="str">
        <f>TEXT(Table2[[#This Row],[New Date]], "ddd")</f>
        <v>Sun</v>
      </c>
      <c r="M7" s="19" t="str">
        <f t="shared" si="0"/>
        <v>Moderate</v>
      </c>
    </row>
    <row r="8" spans="1:13" ht="15.5">
      <c r="A8" s="18" t="s">
        <v>39</v>
      </c>
      <c r="B8" s="19">
        <v>60</v>
      </c>
      <c r="C8" s="19">
        <v>21</v>
      </c>
      <c r="D8" s="19">
        <v>5</v>
      </c>
      <c r="E8" s="19">
        <v>15</v>
      </c>
      <c r="F8" s="19">
        <v>18</v>
      </c>
      <c r="G8" s="18">
        <v>0.3</v>
      </c>
      <c r="H8" s="18">
        <v>0.76</v>
      </c>
      <c r="I8" s="19">
        <v>16</v>
      </c>
      <c r="J8" s="31" t="str">
        <f>LEFT(Table2[[#This Row],[Date]],10)</f>
        <v>2016-11-13</v>
      </c>
      <c r="K8" s="19" t="str">
        <f>RIGHT(Table2[[#This Row],[Date]],2)</f>
        <v>17</v>
      </c>
      <c r="L8" s="19" t="str">
        <f>TEXT(Table2[[#This Row],[New Date]], "ddd")</f>
        <v>Sun</v>
      </c>
      <c r="M8" s="19" t="str">
        <f t="shared" si="0"/>
        <v>Peak</v>
      </c>
    </row>
    <row r="9" spans="1:13" ht="15.5">
      <c r="A9" s="18" t="s">
        <v>40</v>
      </c>
      <c r="B9" s="19">
        <v>61</v>
      </c>
      <c r="C9" s="19">
        <v>24</v>
      </c>
      <c r="D9" s="19">
        <v>4</v>
      </c>
      <c r="E9" s="19">
        <v>20</v>
      </c>
      <c r="F9" s="19">
        <v>18</v>
      </c>
      <c r="G9" s="18">
        <v>0.4</v>
      </c>
      <c r="H9" s="18">
        <v>0.5</v>
      </c>
      <c r="I9" s="19">
        <v>12</v>
      </c>
      <c r="J9" s="31" t="str">
        <f>LEFT(Table2[[#This Row],[Date]],10)</f>
        <v>2016-11-13</v>
      </c>
      <c r="K9" s="19" t="str">
        <f>RIGHT(Table2[[#This Row],[Date]],2)</f>
        <v>16</v>
      </c>
      <c r="L9" s="19" t="str">
        <f>TEXT(Table2[[#This Row],[New Date]], "ddd")</f>
        <v>Sun</v>
      </c>
      <c r="M9" s="19" t="str">
        <f t="shared" si="0"/>
        <v>Peak</v>
      </c>
    </row>
    <row r="10" spans="1:13" ht="15.5">
      <c r="A10" s="18" t="s">
        <v>41</v>
      </c>
      <c r="B10" s="19">
        <v>54</v>
      </c>
      <c r="C10" s="19">
        <v>19</v>
      </c>
      <c r="D10" s="19">
        <v>5</v>
      </c>
      <c r="E10" s="19">
        <v>14</v>
      </c>
      <c r="F10" s="19">
        <v>17</v>
      </c>
      <c r="G10" s="18">
        <v>0.4</v>
      </c>
      <c r="H10" s="18">
        <v>0.37</v>
      </c>
      <c r="I10" s="19">
        <v>7</v>
      </c>
      <c r="J10" s="31" t="str">
        <f>LEFT(Table2[[#This Row],[Date]],10)</f>
        <v>2016-11-13</v>
      </c>
      <c r="K10" s="19" t="str">
        <f>RIGHT(Table2[[#This Row],[Date]],2)</f>
        <v>15</v>
      </c>
      <c r="L10" s="19" t="str">
        <f>TEXT(Table2[[#This Row],[New Date]], "ddd")</f>
        <v>Sun</v>
      </c>
      <c r="M10" s="19" t="str">
        <f t="shared" si="0"/>
        <v>Peak</v>
      </c>
    </row>
    <row r="11" spans="1:13" ht="15.5">
      <c r="A11" s="18" t="s">
        <v>42</v>
      </c>
      <c r="B11" s="19">
        <v>48</v>
      </c>
      <c r="C11" s="19">
        <v>14</v>
      </c>
      <c r="D11" s="19">
        <v>4</v>
      </c>
      <c r="E11" s="19">
        <v>11</v>
      </c>
      <c r="F11" s="19">
        <v>15</v>
      </c>
      <c r="G11" s="18">
        <v>0.3</v>
      </c>
      <c r="H11" s="18">
        <v>0.79</v>
      </c>
      <c r="I11" s="19">
        <v>11</v>
      </c>
      <c r="J11" s="31" t="str">
        <f>LEFT(Table2[[#This Row],[Date]],10)</f>
        <v>2016-11-13</v>
      </c>
      <c r="K11" s="19" t="str">
        <f>RIGHT(Table2[[#This Row],[Date]],2)</f>
        <v>14</v>
      </c>
      <c r="L11" s="19" t="str">
        <f>TEXT(Table2[[#This Row],[New Date]], "ddd")</f>
        <v>Sun</v>
      </c>
      <c r="M11" s="19" t="str">
        <f t="shared" si="0"/>
        <v>Moderate</v>
      </c>
    </row>
    <row r="12" spans="1:13" ht="15.5">
      <c r="A12" s="18" t="s">
        <v>43</v>
      </c>
      <c r="B12" s="19">
        <v>45</v>
      </c>
      <c r="C12" s="19">
        <v>16</v>
      </c>
      <c r="D12" s="19">
        <v>6</v>
      </c>
      <c r="E12" s="19">
        <v>10</v>
      </c>
      <c r="F12" s="19">
        <v>13</v>
      </c>
      <c r="G12" s="18">
        <v>0.4</v>
      </c>
      <c r="H12" s="18">
        <v>0.69</v>
      </c>
      <c r="I12" s="19">
        <v>11</v>
      </c>
      <c r="J12" s="31" t="str">
        <f>LEFT(Table2[[#This Row],[Date]],10)</f>
        <v>2016-11-13</v>
      </c>
      <c r="K12" s="19" t="str">
        <f>RIGHT(Table2[[#This Row],[Date]],2)</f>
        <v>13</v>
      </c>
      <c r="L12" s="19" t="str">
        <f>TEXT(Table2[[#This Row],[New Date]], "ddd")</f>
        <v>Sun</v>
      </c>
      <c r="M12" s="19" t="str">
        <f t="shared" si="0"/>
        <v>Moderate</v>
      </c>
    </row>
    <row r="13" spans="1:13" ht="15.5">
      <c r="A13" s="18" t="s">
        <v>44</v>
      </c>
      <c r="B13" s="19">
        <v>45</v>
      </c>
      <c r="C13" s="19">
        <v>18</v>
      </c>
      <c r="D13" s="19">
        <v>3</v>
      </c>
      <c r="E13" s="19">
        <v>15</v>
      </c>
      <c r="F13" s="19">
        <v>13</v>
      </c>
      <c r="G13" s="18">
        <v>0.4</v>
      </c>
      <c r="H13" s="18">
        <v>0.39</v>
      </c>
      <c r="I13" s="19">
        <v>7</v>
      </c>
      <c r="J13" s="31" t="str">
        <f>LEFT(Table2[[#This Row],[Date]],10)</f>
        <v>2016-11-13</v>
      </c>
      <c r="K13" s="19" t="str">
        <f>RIGHT(Table2[[#This Row],[Date]],2)</f>
        <v>12</v>
      </c>
      <c r="L13" s="19" t="str">
        <f>TEXT(Table2[[#This Row],[New Date]], "ddd")</f>
        <v>Sun</v>
      </c>
      <c r="M13" s="19" t="str">
        <f t="shared" si="0"/>
        <v>Moderate</v>
      </c>
    </row>
    <row r="14" spans="1:13" ht="15.5">
      <c r="A14" s="18" t="s">
        <v>45</v>
      </c>
      <c r="B14" s="19">
        <v>39</v>
      </c>
      <c r="C14" s="19">
        <v>15</v>
      </c>
      <c r="D14" s="19">
        <v>2</v>
      </c>
      <c r="E14" s="19">
        <v>14</v>
      </c>
      <c r="F14" s="19">
        <v>10</v>
      </c>
      <c r="G14" s="18">
        <v>0.4</v>
      </c>
      <c r="H14" s="18">
        <v>0.33</v>
      </c>
      <c r="I14" s="19">
        <v>5</v>
      </c>
      <c r="J14" s="31" t="str">
        <f>LEFT(Table2[[#This Row],[Date]],10)</f>
        <v>2016-11-13</v>
      </c>
      <c r="K14" s="19" t="str">
        <f>RIGHT(Table2[[#This Row],[Date]],2)</f>
        <v>11</v>
      </c>
      <c r="L14" s="19" t="str">
        <f>TEXT(Table2[[#This Row],[New Date]], "ddd")</f>
        <v>Sun</v>
      </c>
      <c r="M14" s="19" t="str">
        <f t="shared" si="0"/>
        <v>Moderate</v>
      </c>
    </row>
    <row r="15" spans="1:13" ht="15.5">
      <c r="A15" s="18" t="s">
        <v>46</v>
      </c>
      <c r="B15" s="19">
        <v>36</v>
      </c>
      <c r="C15" s="19">
        <v>11</v>
      </c>
      <c r="D15" s="19">
        <v>2</v>
      </c>
      <c r="E15" s="19">
        <v>9</v>
      </c>
      <c r="F15" s="19">
        <v>12</v>
      </c>
      <c r="G15" s="18">
        <v>0.3</v>
      </c>
      <c r="H15" s="18">
        <v>0.45</v>
      </c>
      <c r="I15" s="19">
        <v>5</v>
      </c>
      <c r="J15" s="31" t="str">
        <f>LEFT(Table2[[#This Row],[Date]],10)</f>
        <v>2016-11-13</v>
      </c>
      <c r="K15" s="19" t="str">
        <f>RIGHT(Table2[[#This Row],[Date]],2)</f>
        <v>10</v>
      </c>
      <c r="L15" s="19" t="str">
        <f>TEXT(Table2[[#This Row],[New Date]], "ddd")</f>
        <v>Sun</v>
      </c>
      <c r="M15" s="19" t="str">
        <f t="shared" si="0"/>
        <v>Moderate</v>
      </c>
    </row>
    <row r="16" spans="1:13" ht="15.5">
      <c r="A16" s="18" t="s">
        <v>47</v>
      </c>
      <c r="B16" s="19">
        <v>33</v>
      </c>
      <c r="C16" s="19">
        <v>12</v>
      </c>
      <c r="D16" s="19">
        <v>1</v>
      </c>
      <c r="E16" s="19">
        <v>11</v>
      </c>
      <c r="F16" s="19">
        <v>12</v>
      </c>
      <c r="G16" s="18">
        <v>0.4</v>
      </c>
      <c r="H16" s="18">
        <v>0.42</v>
      </c>
      <c r="I16" s="19">
        <v>5</v>
      </c>
      <c r="J16" s="31" t="str">
        <f>LEFT(Table2[[#This Row],[Date]],10)</f>
        <v>2016-11-13</v>
      </c>
      <c r="K16" s="19" t="str">
        <f>RIGHT(Table2[[#This Row],[Date]],2)</f>
        <v>09</v>
      </c>
      <c r="L16" s="19" t="str">
        <f>TEXT(Table2[[#This Row],[New Date]], "ddd")</f>
        <v>Sun</v>
      </c>
      <c r="M16" s="19" t="str">
        <f t="shared" si="0"/>
        <v>Moderate</v>
      </c>
    </row>
    <row r="17" spans="1:13" ht="15.5">
      <c r="A17" s="18" t="s">
        <v>48</v>
      </c>
      <c r="B17" s="19">
        <v>38</v>
      </c>
      <c r="C17" s="19">
        <v>13</v>
      </c>
      <c r="D17" s="19">
        <v>2</v>
      </c>
      <c r="E17" s="19">
        <v>11</v>
      </c>
      <c r="F17" s="19">
        <v>8</v>
      </c>
      <c r="G17" s="18">
        <v>0.3</v>
      </c>
      <c r="H17" s="18">
        <v>0.46</v>
      </c>
      <c r="I17" s="19">
        <v>6</v>
      </c>
      <c r="J17" s="31" t="str">
        <f>LEFT(Table2[[#This Row],[Date]],10)</f>
        <v>2016-11-13</v>
      </c>
      <c r="K17" s="19" t="str">
        <f>RIGHT(Table2[[#This Row],[Date]],2)</f>
        <v>08</v>
      </c>
      <c r="L17" s="19" t="str">
        <f>TEXT(Table2[[#This Row],[New Date]], "ddd")</f>
        <v>Sun</v>
      </c>
      <c r="M17" s="19" t="str">
        <f t="shared" si="0"/>
        <v>Peak</v>
      </c>
    </row>
    <row r="18" spans="1:13" ht="15.5">
      <c r="A18" s="18" t="s">
        <v>49</v>
      </c>
      <c r="B18" s="19">
        <v>28</v>
      </c>
      <c r="C18" s="19">
        <v>10</v>
      </c>
      <c r="D18" s="19">
        <v>1</v>
      </c>
      <c r="E18" s="19">
        <v>9</v>
      </c>
      <c r="F18" s="19">
        <v>7</v>
      </c>
      <c r="G18" s="18">
        <v>0.4</v>
      </c>
      <c r="H18" s="18">
        <v>0.3</v>
      </c>
      <c r="I18" s="19">
        <v>3</v>
      </c>
      <c r="J18" s="31" t="str">
        <f>LEFT(Table2[[#This Row],[Date]],10)</f>
        <v>2016-11-13</v>
      </c>
      <c r="K18" s="19" t="str">
        <f>RIGHT(Table2[[#This Row],[Date]],2)</f>
        <v>07</v>
      </c>
      <c r="L18" s="19" t="str">
        <f>TEXT(Table2[[#This Row],[New Date]], "ddd")</f>
        <v>Sun</v>
      </c>
      <c r="M18" s="19" t="str">
        <f t="shared" si="0"/>
        <v>Peak</v>
      </c>
    </row>
    <row r="19" spans="1:13" ht="15.5">
      <c r="A19" s="18" t="s">
        <v>50</v>
      </c>
      <c r="B19" s="19">
        <v>37</v>
      </c>
      <c r="C19" s="19">
        <v>11</v>
      </c>
      <c r="D19" s="19">
        <v>2</v>
      </c>
      <c r="E19" s="19">
        <v>10</v>
      </c>
      <c r="F19" s="19">
        <v>8</v>
      </c>
      <c r="G19" s="18">
        <v>0.3</v>
      </c>
      <c r="H19" s="18">
        <v>0.27</v>
      </c>
      <c r="I19" s="19">
        <v>3</v>
      </c>
      <c r="J19" s="31" t="str">
        <f>LEFT(Table2[[#This Row],[Date]],10)</f>
        <v>2016-11-13</v>
      </c>
      <c r="K19" s="19" t="str">
        <f>RIGHT(Table2[[#This Row],[Date]],2)</f>
        <v>06</v>
      </c>
      <c r="L19" s="19" t="str">
        <f>TEXT(Table2[[#This Row],[New Date]], "ddd")</f>
        <v>Sun</v>
      </c>
      <c r="M19" s="19" t="str">
        <f t="shared" si="0"/>
        <v>Peak</v>
      </c>
    </row>
    <row r="20" spans="1:13" ht="15.5">
      <c r="A20" s="18" t="s">
        <v>51</v>
      </c>
      <c r="B20" s="19">
        <v>32</v>
      </c>
      <c r="C20" s="19">
        <v>13</v>
      </c>
      <c r="D20" s="19">
        <v>4</v>
      </c>
      <c r="E20" s="19">
        <v>9</v>
      </c>
      <c r="F20" s="19">
        <v>10</v>
      </c>
      <c r="G20" s="18">
        <v>0.4</v>
      </c>
      <c r="H20" s="18">
        <v>0.54</v>
      </c>
      <c r="I20" s="19">
        <v>7</v>
      </c>
      <c r="J20" s="31" t="str">
        <f>LEFT(Table2[[#This Row],[Date]],10)</f>
        <v>2016-11-13</v>
      </c>
      <c r="K20" s="19" t="str">
        <f>RIGHT(Table2[[#This Row],[Date]],2)</f>
        <v>05</v>
      </c>
      <c r="L20" s="19" t="str">
        <f>TEXT(Table2[[#This Row],[New Date]], "ddd")</f>
        <v>Sun</v>
      </c>
      <c r="M20" s="19" t="str">
        <f t="shared" si="0"/>
        <v>Moderate</v>
      </c>
    </row>
    <row r="21" spans="1:13" ht="15.75" customHeight="1">
      <c r="A21" s="18" t="s">
        <v>52</v>
      </c>
      <c r="B21" s="19">
        <v>33</v>
      </c>
      <c r="C21" s="19">
        <v>10</v>
      </c>
      <c r="D21" s="19">
        <v>4</v>
      </c>
      <c r="E21" s="19">
        <v>6</v>
      </c>
      <c r="F21" s="19">
        <v>11</v>
      </c>
      <c r="G21" s="18">
        <v>0.3</v>
      </c>
      <c r="H21" s="18">
        <v>1</v>
      </c>
      <c r="I21" s="19">
        <v>10</v>
      </c>
      <c r="J21" s="31" t="str">
        <f>LEFT(Table2[[#This Row],[Date]],10)</f>
        <v>2016-11-13</v>
      </c>
      <c r="K21" s="19" t="str">
        <f>RIGHT(Table2[[#This Row],[Date]],2)</f>
        <v>04</v>
      </c>
      <c r="L21" s="19" t="str">
        <f>TEXT(Table2[[#This Row],[New Date]], "ddd")</f>
        <v>Sun</v>
      </c>
      <c r="M21" s="19" t="str">
        <f t="shared" si="0"/>
        <v>Moderate</v>
      </c>
    </row>
    <row r="22" spans="1:13" ht="15.75" customHeight="1">
      <c r="A22" s="18" t="s">
        <v>53</v>
      </c>
      <c r="B22" s="19">
        <v>42</v>
      </c>
      <c r="C22" s="19">
        <v>15</v>
      </c>
      <c r="D22" s="19">
        <v>6</v>
      </c>
      <c r="E22" s="19">
        <v>9</v>
      </c>
      <c r="F22" s="19">
        <v>13</v>
      </c>
      <c r="G22" s="18">
        <v>0.4</v>
      </c>
      <c r="H22" s="18">
        <v>1.27</v>
      </c>
      <c r="I22" s="19">
        <v>19</v>
      </c>
      <c r="J22" s="31" t="str">
        <f>LEFT(Table2[[#This Row],[Date]],10)</f>
        <v>2016-11-13</v>
      </c>
      <c r="K22" s="19" t="str">
        <f>RIGHT(Table2[[#This Row],[Date]],2)</f>
        <v>03</v>
      </c>
      <c r="L22" s="19" t="str">
        <f>TEXT(Table2[[#This Row],[New Date]], "ddd")</f>
        <v>Sun</v>
      </c>
      <c r="M22" s="19" t="str">
        <f t="shared" si="0"/>
        <v>Moderate</v>
      </c>
    </row>
    <row r="23" spans="1:13" ht="15.75" customHeight="1">
      <c r="A23" s="18" t="s">
        <v>54</v>
      </c>
      <c r="B23" s="19">
        <v>47</v>
      </c>
      <c r="C23" s="19">
        <v>20</v>
      </c>
      <c r="D23" s="19">
        <v>7</v>
      </c>
      <c r="E23" s="19">
        <v>14</v>
      </c>
      <c r="F23" s="19">
        <v>11</v>
      </c>
      <c r="G23" s="18">
        <v>0.4</v>
      </c>
      <c r="H23" s="18">
        <v>1.25</v>
      </c>
      <c r="I23" s="19">
        <v>25</v>
      </c>
      <c r="J23" s="31" t="str">
        <f>LEFT(Table2[[#This Row],[Date]],10)</f>
        <v>2016-11-13</v>
      </c>
      <c r="K23" s="19" t="str">
        <f>RIGHT(Table2[[#This Row],[Date]],2)</f>
        <v>02</v>
      </c>
      <c r="L23" s="19" t="str">
        <f>TEXT(Table2[[#This Row],[New Date]], "ddd")</f>
        <v>Sun</v>
      </c>
      <c r="M23" s="19" t="str">
        <f t="shared" si="0"/>
        <v>Moderate</v>
      </c>
    </row>
    <row r="24" spans="1:13" ht="15.75" customHeight="1">
      <c r="A24" s="18" t="s">
        <v>55</v>
      </c>
      <c r="B24" s="19">
        <v>60</v>
      </c>
      <c r="C24" s="19">
        <v>25</v>
      </c>
      <c r="D24" s="19">
        <v>8</v>
      </c>
      <c r="E24" s="19">
        <v>17</v>
      </c>
      <c r="F24" s="19">
        <v>14</v>
      </c>
      <c r="G24" s="18">
        <v>0.4</v>
      </c>
      <c r="H24" s="18">
        <v>0.56000000000000005</v>
      </c>
      <c r="I24" s="19">
        <v>14</v>
      </c>
      <c r="J24" s="31" t="str">
        <f>LEFT(Table2[[#This Row],[Date]],10)</f>
        <v>2016-11-13</v>
      </c>
      <c r="K24" s="19" t="str">
        <f>RIGHT(Table2[[#This Row],[Date]],2)</f>
        <v>01</v>
      </c>
      <c r="L24" s="19" t="str">
        <f>TEXT(Table2[[#This Row],[New Date]], "ddd")</f>
        <v>Sun</v>
      </c>
      <c r="M24" s="19" t="str">
        <f t="shared" si="0"/>
        <v>Moderate</v>
      </c>
    </row>
    <row r="25" spans="1:13" ht="15.75" customHeight="1">
      <c r="A25" s="18" t="s">
        <v>56</v>
      </c>
      <c r="B25" s="19">
        <v>58</v>
      </c>
      <c r="C25" s="19">
        <v>24</v>
      </c>
      <c r="D25" s="19">
        <v>12</v>
      </c>
      <c r="E25" s="19">
        <v>12</v>
      </c>
      <c r="F25" s="19">
        <v>16</v>
      </c>
      <c r="G25" s="18">
        <v>0.4</v>
      </c>
      <c r="H25" s="18">
        <v>1.33</v>
      </c>
      <c r="I25" s="19">
        <v>32</v>
      </c>
      <c r="J25" s="31" t="str">
        <f>LEFT(Table2[[#This Row],[Date]],10)</f>
        <v>2016-11-13</v>
      </c>
      <c r="K25" s="19" t="str">
        <f>RIGHT(Table2[[#This Row],[Date]],2)</f>
        <v>00</v>
      </c>
      <c r="L25" s="19" t="str">
        <f>TEXT(Table2[[#This Row],[New Date]], "ddd")</f>
        <v>Sun</v>
      </c>
      <c r="M25" s="19" t="str">
        <f t="shared" si="0"/>
        <v>Peak</v>
      </c>
    </row>
    <row r="26" spans="1:13" ht="15.75" customHeight="1">
      <c r="A26" s="18" t="s">
        <v>57</v>
      </c>
      <c r="B26" s="19">
        <v>67</v>
      </c>
      <c r="C26" s="19">
        <v>29</v>
      </c>
      <c r="D26" s="19">
        <v>14</v>
      </c>
      <c r="E26" s="19">
        <v>15</v>
      </c>
      <c r="F26" s="19">
        <v>17</v>
      </c>
      <c r="G26" s="18">
        <v>0.4</v>
      </c>
      <c r="H26" s="18">
        <v>1.48</v>
      </c>
      <c r="I26" s="19">
        <v>43</v>
      </c>
      <c r="J26" s="31" t="str">
        <f>LEFT(Table2[[#This Row],[Date]],10)</f>
        <v>2016-11-12</v>
      </c>
      <c r="K26" s="19" t="str">
        <f>RIGHT(Table2[[#This Row],[Date]],2)</f>
        <v>23</v>
      </c>
      <c r="L26" s="19" t="str">
        <f>TEXT(Table2[[#This Row],[New Date]], "ddd")</f>
        <v>Sat</v>
      </c>
      <c r="M26" s="19" t="str">
        <f t="shared" si="0"/>
        <v>Peak</v>
      </c>
    </row>
    <row r="27" spans="1:13" ht="15.75" customHeight="1">
      <c r="A27" s="18" t="s">
        <v>58</v>
      </c>
      <c r="B27" s="19">
        <v>68</v>
      </c>
      <c r="C27" s="19">
        <v>30</v>
      </c>
      <c r="D27" s="19">
        <v>8</v>
      </c>
      <c r="E27" s="19">
        <v>22</v>
      </c>
      <c r="F27" s="19">
        <v>21</v>
      </c>
      <c r="G27" s="18">
        <v>0.4</v>
      </c>
      <c r="H27" s="18">
        <v>0.73</v>
      </c>
      <c r="I27" s="19">
        <v>22</v>
      </c>
      <c r="J27" s="31" t="str">
        <f>LEFT(Table2[[#This Row],[Date]],10)</f>
        <v>2016-11-12</v>
      </c>
      <c r="K27" s="19" t="str">
        <f>RIGHT(Table2[[#This Row],[Date]],2)</f>
        <v>22</v>
      </c>
      <c r="L27" s="19" t="str">
        <f>TEXT(Table2[[#This Row],[New Date]], "ddd")</f>
        <v>Sat</v>
      </c>
      <c r="M27" s="19" t="str">
        <f t="shared" si="0"/>
        <v>Off-Peak</v>
      </c>
    </row>
    <row r="28" spans="1:13" ht="15.75" customHeight="1">
      <c r="A28" s="18" t="s">
        <v>59</v>
      </c>
      <c r="B28" s="19">
        <v>73</v>
      </c>
      <c r="C28" s="19">
        <v>30</v>
      </c>
      <c r="D28" s="19">
        <v>4</v>
      </c>
      <c r="E28" s="19">
        <v>26</v>
      </c>
      <c r="F28" s="19">
        <v>21</v>
      </c>
      <c r="G28" s="18">
        <v>0.4</v>
      </c>
      <c r="H28" s="18">
        <v>0.4</v>
      </c>
      <c r="I28" s="19">
        <v>12</v>
      </c>
      <c r="J28" s="31" t="str">
        <f>LEFT(Table2[[#This Row],[Date]],10)</f>
        <v>2016-11-12</v>
      </c>
      <c r="K28" s="19" t="str">
        <f>RIGHT(Table2[[#This Row],[Date]],2)</f>
        <v>21</v>
      </c>
      <c r="L28" s="19" t="str">
        <f>TEXT(Table2[[#This Row],[New Date]], "ddd")</f>
        <v>Sat</v>
      </c>
      <c r="M28" s="19" t="str">
        <f t="shared" si="0"/>
        <v>Off-Peak</v>
      </c>
    </row>
    <row r="29" spans="1:13" ht="15.75" customHeight="1">
      <c r="A29" s="18" t="s">
        <v>60</v>
      </c>
      <c r="B29" s="19">
        <v>76</v>
      </c>
      <c r="C29" s="19">
        <v>28</v>
      </c>
      <c r="D29" s="19">
        <v>5</v>
      </c>
      <c r="E29" s="19">
        <v>22</v>
      </c>
      <c r="F29" s="19">
        <v>24</v>
      </c>
      <c r="G29" s="18">
        <v>0.4</v>
      </c>
      <c r="H29" s="18">
        <v>0.5</v>
      </c>
      <c r="I29" s="19">
        <v>14</v>
      </c>
      <c r="J29" s="31" t="str">
        <f>LEFT(Table2[[#This Row],[Date]],10)</f>
        <v>2016-11-12</v>
      </c>
      <c r="K29" s="19" t="str">
        <f>RIGHT(Table2[[#This Row],[Date]],2)</f>
        <v>20</v>
      </c>
      <c r="L29" s="19" t="str">
        <f>TEXT(Table2[[#This Row],[New Date]], "ddd")</f>
        <v>Sat</v>
      </c>
      <c r="M29" s="19" t="str">
        <f t="shared" si="0"/>
        <v>Off-Peak</v>
      </c>
    </row>
    <row r="30" spans="1:13" ht="15.75" customHeight="1">
      <c r="A30" s="18" t="s">
        <v>61</v>
      </c>
      <c r="B30" s="19">
        <v>72</v>
      </c>
      <c r="C30" s="19">
        <v>27</v>
      </c>
      <c r="D30" s="19">
        <v>4</v>
      </c>
      <c r="E30" s="19">
        <v>23</v>
      </c>
      <c r="F30" s="19">
        <v>21</v>
      </c>
      <c r="G30" s="18">
        <v>0.4</v>
      </c>
      <c r="H30" s="18">
        <v>0.44</v>
      </c>
      <c r="I30" s="19">
        <v>12</v>
      </c>
      <c r="J30" s="31" t="str">
        <f>LEFT(Table2[[#This Row],[Date]],10)</f>
        <v>2016-11-12</v>
      </c>
      <c r="K30" s="19" t="str">
        <f>RIGHT(Table2[[#This Row],[Date]],2)</f>
        <v>19</v>
      </c>
      <c r="L30" s="19" t="str">
        <f>TEXT(Table2[[#This Row],[New Date]], "ddd")</f>
        <v>Sat</v>
      </c>
      <c r="M30" s="19" t="str">
        <f t="shared" si="0"/>
        <v>Off-Peak</v>
      </c>
    </row>
    <row r="31" spans="1:13" ht="15.75" customHeight="1">
      <c r="A31" s="18" t="s">
        <v>62</v>
      </c>
      <c r="B31" s="19">
        <v>74</v>
      </c>
      <c r="C31" s="19">
        <v>24</v>
      </c>
      <c r="D31" s="19">
        <v>6</v>
      </c>
      <c r="E31" s="19">
        <v>18</v>
      </c>
      <c r="F31" s="19">
        <v>18</v>
      </c>
      <c r="G31" s="18">
        <v>0.3</v>
      </c>
      <c r="H31" s="18">
        <v>0.71</v>
      </c>
      <c r="I31" s="19">
        <v>17</v>
      </c>
      <c r="J31" s="31" t="str">
        <f>LEFT(Table2[[#This Row],[Date]],10)</f>
        <v>2016-11-12</v>
      </c>
      <c r="K31" s="19" t="str">
        <f>RIGHT(Table2[[#This Row],[Date]],2)</f>
        <v>18</v>
      </c>
      <c r="L31" s="19" t="str">
        <f>TEXT(Table2[[#This Row],[New Date]], "ddd")</f>
        <v>Sat</v>
      </c>
      <c r="M31" s="19" t="str">
        <f t="shared" si="0"/>
        <v>Peak</v>
      </c>
    </row>
    <row r="32" spans="1:13" ht="15.75" customHeight="1">
      <c r="A32" s="18" t="s">
        <v>63</v>
      </c>
      <c r="B32" s="19">
        <v>58</v>
      </c>
      <c r="C32" s="19">
        <v>20</v>
      </c>
      <c r="D32" s="19">
        <v>5</v>
      </c>
      <c r="E32" s="19">
        <v>15</v>
      </c>
      <c r="F32" s="19">
        <v>16</v>
      </c>
      <c r="G32" s="18">
        <v>0.3</v>
      </c>
      <c r="H32" s="18">
        <v>0.7</v>
      </c>
      <c r="I32" s="19">
        <v>14</v>
      </c>
      <c r="J32" s="31" t="str">
        <f>LEFT(Table2[[#This Row],[Date]],10)</f>
        <v>2016-11-12</v>
      </c>
      <c r="K32" s="19" t="str">
        <f>RIGHT(Table2[[#This Row],[Date]],2)</f>
        <v>17</v>
      </c>
      <c r="L32" s="19" t="str">
        <f>TEXT(Table2[[#This Row],[New Date]], "ddd")</f>
        <v>Sat</v>
      </c>
      <c r="M32" s="19" t="str">
        <f t="shared" si="0"/>
        <v>Peak</v>
      </c>
    </row>
    <row r="33" spans="1:13" ht="15.75" customHeight="1">
      <c r="A33" s="18" t="s">
        <v>64</v>
      </c>
      <c r="B33" s="19">
        <v>63</v>
      </c>
      <c r="C33" s="19">
        <v>21</v>
      </c>
      <c r="D33" s="19">
        <v>3</v>
      </c>
      <c r="E33" s="19">
        <v>18</v>
      </c>
      <c r="F33" s="19">
        <v>19</v>
      </c>
      <c r="G33" s="18">
        <v>0.3</v>
      </c>
      <c r="H33" s="18">
        <v>0.52</v>
      </c>
      <c r="I33" s="19">
        <v>11</v>
      </c>
      <c r="J33" s="31" t="str">
        <f>LEFT(Table2[[#This Row],[Date]],10)</f>
        <v>2016-11-12</v>
      </c>
      <c r="K33" s="19" t="str">
        <f>RIGHT(Table2[[#This Row],[Date]],2)</f>
        <v>16</v>
      </c>
      <c r="L33" s="19" t="str">
        <f>TEXT(Table2[[#This Row],[New Date]], "ddd")</f>
        <v>Sat</v>
      </c>
      <c r="M33" s="19" t="str">
        <f t="shared" si="0"/>
        <v>Moderate</v>
      </c>
    </row>
    <row r="34" spans="1:13" ht="15.75" customHeight="1">
      <c r="A34" s="18" t="s">
        <v>65</v>
      </c>
      <c r="B34" s="19">
        <v>71</v>
      </c>
      <c r="C34" s="19">
        <v>23</v>
      </c>
      <c r="D34" s="19">
        <v>3</v>
      </c>
      <c r="E34" s="19">
        <v>20</v>
      </c>
      <c r="F34" s="19">
        <v>17</v>
      </c>
      <c r="G34" s="18">
        <v>0.3</v>
      </c>
      <c r="H34" s="18">
        <v>0.35</v>
      </c>
      <c r="I34" s="19">
        <v>8</v>
      </c>
      <c r="J34" s="31" t="str">
        <f>LEFT(Table2[[#This Row],[Date]],10)</f>
        <v>2016-11-12</v>
      </c>
      <c r="K34" s="19" t="str">
        <f>RIGHT(Table2[[#This Row],[Date]],2)</f>
        <v>15</v>
      </c>
      <c r="L34" s="19" t="str">
        <f>TEXT(Table2[[#This Row],[New Date]], "ddd")</f>
        <v>Sat</v>
      </c>
      <c r="M34" s="19" t="str">
        <f t="shared" si="0"/>
        <v>Peak</v>
      </c>
    </row>
    <row r="35" spans="1:13" ht="15.75" customHeight="1">
      <c r="A35" s="18" t="s">
        <v>66</v>
      </c>
      <c r="B35" s="19">
        <v>58</v>
      </c>
      <c r="C35" s="19">
        <v>19</v>
      </c>
      <c r="D35" s="19">
        <v>3</v>
      </c>
      <c r="E35" s="19">
        <v>16</v>
      </c>
      <c r="F35" s="19">
        <v>17</v>
      </c>
      <c r="G35" s="18">
        <v>0.3</v>
      </c>
      <c r="H35" s="18">
        <v>0.37</v>
      </c>
      <c r="I35" s="19">
        <v>7</v>
      </c>
      <c r="J35" s="31" t="str">
        <f>LEFT(Table2[[#This Row],[Date]],10)</f>
        <v>2016-11-12</v>
      </c>
      <c r="K35" s="19" t="str">
        <f>RIGHT(Table2[[#This Row],[Date]],2)</f>
        <v>14</v>
      </c>
      <c r="L35" s="19" t="str">
        <f>TEXT(Table2[[#This Row],[New Date]], "ddd")</f>
        <v>Sat</v>
      </c>
      <c r="M35" s="19" t="str">
        <f t="shared" si="0"/>
        <v>Peak</v>
      </c>
    </row>
    <row r="36" spans="1:13" ht="15.75" customHeight="1">
      <c r="A36" s="18" t="s">
        <v>67</v>
      </c>
      <c r="B36" s="19">
        <v>57</v>
      </c>
      <c r="C36" s="19">
        <v>18</v>
      </c>
      <c r="D36" s="19">
        <v>5</v>
      </c>
      <c r="E36" s="19">
        <v>13</v>
      </c>
      <c r="F36" s="19">
        <v>16</v>
      </c>
      <c r="G36" s="18">
        <v>0.3</v>
      </c>
      <c r="H36" s="18">
        <v>0.61</v>
      </c>
      <c r="I36" s="19">
        <v>11</v>
      </c>
      <c r="J36" s="31" t="str">
        <f>LEFT(Table2[[#This Row],[Date]],10)</f>
        <v>2016-11-12</v>
      </c>
      <c r="K36" s="19" t="str">
        <f>RIGHT(Table2[[#This Row],[Date]],2)</f>
        <v>13</v>
      </c>
      <c r="L36" s="19" t="str">
        <f>TEXT(Table2[[#This Row],[New Date]], "ddd")</f>
        <v>Sat</v>
      </c>
      <c r="M36" s="19" t="str">
        <f t="shared" si="0"/>
        <v>Peak</v>
      </c>
    </row>
    <row r="37" spans="1:13" ht="15.75" customHeight="1">
      <c r="A37" s="18" t="s">
        <v>68</v>
      </c>
      <c r="B37" s="19">
        <v>47</v>
      </c>
      <c r="C37" s="19">
        <v>13</v>
      </c>
      <c r="D37" s="19">
        <v>3</v>
      </c>
      <c r="E37" s="19">
        <v>10</v>
      </c>
      <c r="F37" s="19">
        <v>16</v>
      </c>
      <c r="G37" s="18">
        <v>0.3</v>
      </c>
      <c r="H37" s="18">
        <v>0.54</v>
      </c>
      <c r="I37" s="19">
        <v>7</v>
      </c>
      <c r="J37" s="31" t="str">
        <f>LEFT(Table2[[#This Row],[Date]],10)</f>
        <v>2016-11-12</v>
      </c>
      <c r="K37" s="19" t="str">
        <f>RIGHT(Table2[[#This Row],[Date]],2)</f>
        <v>12</v>
      </c>
      <c r="L37" s="19" t="str">
        <f>TEXT(Table2[[#This Row],[New Date]], "ddd")</f>
        <v>Sat</v>
      </c>
      <c r="M37" s="19" t="str">
        <f t="shared" si="0"/>
        <v>Peak</v>
      </c>
    </row>
    <row r="38" spans="1:13" ht="15.75" customHeight="1">
      <c r="A38" s="18" t="s">
        <v>69</v>
      </c>
      <c r="B38" s="19">
        <v>46</v>
      </c>
      <c r="C38" s="19">
        <v>12</v>
      </c>
      <c r="D38" s="19">
        <v>2</v>
      </c>
      <c r="E38" s="19">
        <v>10</v>
      </c>
      <c r="F38" s="19">
        <v>13</v>
      </c>
      <c r="G38" s="18">
        <v>0.3</v>
      </c>
      <c r="H38" s="18">
        <v>0.33</v>
      </c>
      <c r="I38" s="19">
        <v>4</v>
      </c>
      <c r="J38" s="31" t="str">
        <f>LEFT(Table2[[#This Row],[Date]],10)</f>
        <v>2016-11-12</v>
      </c>
      <c r="K38" s="19" t="str">
        <f>RIGHT(Table2[[#This Row],[Date]],2)</f>
        <v>11</v>
      </c>
      <c r="L38" s="19" t="str">
        <f>TEXT(Table2[[#This Row],[New Date]], "ddd")</f>
        <v>Sat</v>
      </c>
      <c r="M38" s="19" t="str">
        <f t="shared" si="0"/>
        <v>Moderate</v>
      </c>
    </row>
    <row r="39" spans="1:13" ht="15.75" customHeight="1">
      <c r="A39" s="18" t="s">
        <v>70</v>
      </c>
      <c r="B39" s="19">
        <v>40</v>
      </c>
      <c r="C39" s="19">
        <v>12</v>
      </c>
      <c r="D39" s="19">
        <v>3</v>
      </c>
      <c r="E39" s="19">
        <v>10</v>
      </c>
      <c r="F39" s="19">
        <v>10</v>
      </c>
      <c r="G39" s="18">
        <v>0.3</v>
      </c>
      <c r="H39" s="18">
        <v>0.5</v>
      </c>
      <c r="I39" s="19">
        <v>6</v>
      </c>
      <c r="J39" s="31" t="str">
        <f>LEFT(Table2[[#This Row],[Date]],10)</f>
        <v>2016-11-12</v>
      </c>
      <c r="K39" s="19" t="str">
        <f>RIGHT(Table2[[#This Row],[Date]],2)</f>
        <v>10</v>
      </c>
      <c r="L39" s="19" t="str">
        <f>TEXT(Table2[[#This Row],[New Date]], "ddd")</f>
        <v>Sat</v>
      </c>
      <c r="M39" s="19" t="str">
        <f t="shared" si="0"/>
        <v>Moderate</v>
      </c>
    </row>
    <row r="40" spans="1:13" ht="15.75" customHeight="1">
      <c r="A40" s="18" t="s">
        <v>71</v>
      </c>
      <c r="B40" s="19">
        <v>29</v>
      </c>
      <c r="C40" s="19">
        <v>12</v>
      </c>
      <c r="D40" s="19">
        <v>2</v>
      </c>
      <c r="E40" s="19">
        <v>10</v>
      </c>
      <c r="F40" s="19">
        <v>8</v>
      </c>
      <c r="G40" s="18">
        <v>0.4</v>
      </c>
      <c r="H40" s="18">
        <v>0.25</v>
      </c>
      <c r="I40" s="19">
        <v>3</v>
      </c>
      <c r="J40" s="31" t="str">
        <f>LEFT(Table2[[#This Row],[Date]],10)</f>
        <v>2016-11-12</v>
      </c>
      <c r="K40" s="19" t="str">
        <f>RIGHT(Table2[[#This Row],[Date]],2)</f>
        <v>09</v>
      </c>
      <c r="L40" s="19" t="str">
        <f>TEXT(Table2[[#This Row],[New Date]], "ddd")</f>
        <v>Sat</v>
      </c>
      <c r="M40" s="19" t="str">
        <f t="shared" si="0"/>
        <v>Peak</v>
      </c>
    </row>
    <row r="41" spans="1:13" ht="15.75" customHeight="1">
      <c r="A41" s="18" t="s">
        <v>72</v>
      </c>
      <c r="B41" s="19">
        <v>25</v>
      </c>
      <c r="C41" s="19">
        <v>7</v>
      </c>
      <c r="D41" s="19">
        <v>2</v>
      </c>
      <c r="E41" s="19">
        <v>5</v>
      </c>
      <c r="F41" s="19">
        <v>5</v>
      </c>
      <c r="G41" s="18">
        <v>0.3</v>
      </c>
      <c r="H41" s="18">
        <v>0.56999999999999995</v>
      </c>
      <c r="I41" s="19">
        <v>4</v>
      </c>
      <c r="J41" s="31" t="str">
        <f>LEFT(Table2[[#This Row],[Date]],10)</f>
        <v>2016-11-12</v>
      </c>
      <c r="K41" s="19" t="str">
        <f>RIGHT(Table2[[#This Row],[Date]],2)</f>
        <v>08</v>
      </c>
      <c r="L41" s="19" t="str">
        <f>TEXT(Table2[[#This Row],[New Date]], "ddd")</f>
        <v>Sat</v>
      </c>
      <c r="M41" s="19" t="str">
        <f t="shared" si="0"/>
        <v>Off-Peak</v>
      </c>
    </row>
    <row r="42" spans="1:13" ht="15.75" customHeight="1">
      <c r="A42" s="18" t="s">
        <v>73</v>
      </c>
      <c r="B42" s="19">
        <v>22</v>
      </c>
      <c r="C42" s="19">
        <v>10</v>
      </c>
      <c r="D42" s="19">
        <v>1</v>
      </c>
      <c r="E42" s="19">
        <v>8</v>
      </c>
      <c r="F42" s="19">
        <v>4</v>
      </c>
      <c r="G42" s="18">
        <v>0.5</v>
      </c>
      <c r="H42" s="18">
        <v>0.3</v>
      </c>
      <c r="I42" s="19">
        <v>3</v>
      </c>
      <c r="J42" s="31" t="str">
        <f>LEFT(Table2[[#This Row],[Date]],10)</f>
        <v>2016-11-12</v>
      </c>
      <c r="K42" s="19" t="str">
        <f>RIGHT(Table2[[#This Row],[Date]],2)</f>
        <v>07</v>
      </c>
      <c r="L42" s="19" t="str">
        <f>TEXT(Table2[[#This Row],[New Date]], "ddd")</f>
        <v>Sat</v>
      </c>
      <c r="M42" s="19" t="str">
        <f t="shared" si="0"/>
        <v>Off-Peak</v>
      </c>
    </row>
    <row r="43" spans="1:13" ht="15.75" customHeight="1">
      <c r="A43" s="18" t="s">
        <v>74</v>
      </c>
      <c r="B43" s="19">
        <v>26</v>
      </c>
      <c r="C43" s="19">
        <v>10</v>
      </c>
      <c r="D43" s="19">
        <v>1</v>
      </c>
      <c r="E43" s="19">
        <v>8</v>
      </c>
      <c r="F43" s="19">
        <v>6</v>
      </c>
      <c r="G43" s="18">
        <v>0.4</v>
      </c>
      <c r="H43" s="18">
        <v>0.4</v>
      </c>
      <c r="I43" s="19">
        <v>4</v>
      </c>
      <c r="J43" s="31" t="str">
        <f>LEFT(Table2[[#This Row],[Date]],10)</f>
        <v>2016-11-12</v>
      </c>
      <c r="K43" s="19" t="str">
        <f>RIGHT(Table2[[#This Row],[Date]],2)</f>
        <v>06</v>
      </c>
      <c r="L43" s="19" t="str">
        <f>TEXT(Table2[[#This Row],[New Date]], "ddd")</f>
        <v>Sat</v>
      </c>
      <c r="M43" s="19" t="str">
        <f t="shared" si="0"/>
        <v>Moderate</v>
      </c>
    </row>
    <row r="44" spans="1:13" ht="15.75" customHeight="1">
      <c r="A44" s="18" t="s">
        <v>75</v>
      </c>
      <c r="B44" s="19">
        <v>31</v>
      </c>
      <c r="C44" s="19">
        <v>13</v>
      </c>
      <c r="D44" s="19">
        <v>3</v>
      </c>
      <c r="E44" s="19">
        <v>10</v>
      </c>
      <c r="F44" s="19">
        <v>9</v>
      </c>
      <c r="G44" s="18">
        <v>0.4</v>
      </c>
      <c r="H44" s="18">
        <v>0.77</v>
      </c>
      <c r="I44" s="19">
        <v>10</v>
      </c>
      <c r="J44" s="31" t="str">
        <f>LEFT(Table2[[#This Row],[Date]],10)</f>
        <v>2016-11-12</v>
      </c>
      <c r="K44" s="19" t="str">
        <f>RIGHT(Table2[[#This Row],[Date]],2)</f>
        <v>05</v>
      </c>
      <c r="L44" s="19" t="str">
        <f>TEXT(Table2[[#This Row],[New Date]], "ddd")</f>
        <v>Sat</v>
      </c>
      <c r="M44" s="19" t="str">
        <f t="shared" si="0"/>
        <v>Peak</v>
      </c>
    </row>
    <row r="45" spans="1:13" ht="15.75" customHeight="1">
      <c r="A45" s="18" t="s">
        <v>76</v>
      </c>
      <c r="B45" s="19">
        <v>38</v>
      </c>
      <c r="C45" s="19">
        <v>14</v>
      </c>
      <c r="D45" s="19">
        <v>5</v>
      </c>
      <c r="E45" s="19">
        <v>9</v>
      </c>
      <c r="F45" s="19">
        <v>13</v>
      </c>
      <c r="G45" s="18">
        <v>0.4</v>
      </c>
      <c r="H45" s="18">
        <v>0.43</v>
      </c>
      <c r="I45" s="19">
        <v>6</v>
      </c>
      <c r="J45" s="31" t="str">
        <f>LEFT(Table2[[#This Row],[Date]],10)</f>
        <v>2016-11-12</v>
      </c>
      <c r="K45" s="19" t="str">
        <f>RIGHT(Table2[[#This Row],[Date]],2)</f>
        <v>04</v>
      </c>
      <c r="L45" s="19" t="str">
        <f>TEXT(Table2[[#This Row],[New Date]], "ddd")</f>
        <v>Sat</v>
      </c>
      <c r="M45" s="19" t="str">
        <f t="shared" si="0"/>
        <v>Moderate</v>
      </c>
    </row>
    <row r="46" spans="1:13" ht="15.75" customHeight="1">
      <c r="A46" s="18" t="s">
        <v>77</v>
      </c>
      <c r="B46" s="19">
        <v>46</v>
      </c>
      <c r="C46" s="19">
        <v>19</v>
      </c>
      <c r="D46" s="19">
        <v>7</v>
      </c>
      <c r="E46" s="19">
        <v>12</v>
      </c>
      <c r="F46" s="19">
        <v>13</v>
      </c>
      <c r="G46" s="18">
        <v>0.4</v>
      </c>
      <c r="H46" s="18">
        <v>1</v>
      </c>
      <c r="I46" s="19">
        <v>19</v>
      </c>
      <c r="J46" s="31" t="str">
        <f>LEFT(Table2[[#This Row],[Date]],10)</f>
        <v>2016-11-12</v>
      </c>
      <c r="K46" s="19" t="str">
        <f>RIGHT(Table2[[#This Row],[Date]],2)</f>
        <v>03</v>
      </c>
      <c r="L46" s="19" t="str">
        <f>TEXT(Table2[[#This Row],[New Date]], "ddd")</f>
        <v>Sat</v>
      </c>
      <c r="M46" s="19" t="str">
        <f t="shared" si="0"/>
        <v>Moderate</v>
      </c>
    </row>
    <row r="47" spans="1:13" ht="15.75" customHeight="1">
      <c r="A47" s="18" t="s">
        <v>78</v>
      </c>
      <c r="B47" s="19">
        <v>54</v>
      </c>
      <c r="C47" s="19">
        <v>26</v>
      </c>
      <c r="D47" s="19">
        <v>6</v>
      </c>
      <c r="E47" s="19">
        <v>20</v>
      </c>
      <c r="F47" s="19">
        <v>12</v>
      </c>
      <c r="G47" s="18">
        <v>0.5</v>
      </c>
      <c r="H47" s="18">
        <v>0.73</v>
      </c>
      <c r="I47" s="19">
        <v>19</v>
      </c>
      <c r="J47" s="31" t="str">
        <f>LEFT(Table2[[#This Row],[Date]],10)</f>
        <v>2016-11-12</v>
      </c>
      <c r="K47" s="19" t="str">
        <f>RIGHT(Table2[[#This Row],[Date]],2)</f>
        <v>02</v>
      </c>
      <c r="L47" s="19" t="str">
        <f>TEXT(Table2[[#This Row],[New Date]], "ddd")</f>
        <v>Sat</v>
      </c>
      <c r="M47" s="19" t="str">
        <f t="shared" si="0"/>
        <v>Moderate</v>
      </c>
    </row>
    <row r="48" spans="1:13" ht="15.75" customHeight="1">
      <c r="A48" s="18" t="s">
        <v>79</v>
      </c>
      <c r="B48" s="19">
        <v>62</v>
      </c>
      <c r="C48" s="19">
        <v>30</v>
      </c>
      <c r="D48" s="19">
        <v>11</v>
      </c>
      <c r="E48" s="19">
        <v>19</v>
      </c>
      <c r="F48" s="19">
        <v>13</v>
      </c>
      <c r="G48" s="18">
        <v>0.5</v>
      </c>
      <c r="H48" s="18">
        <v>0.73</v>
      </c>
      <c r="I48" s="19">
        <v>22</v>
      </c>
      <c r="J48" s="31" t="str">
        <f>LEFT(Table2[[#This Row],[Date]],10)</f>
        <v>2016-11-12</v>
      </c>
      <c r="K48" s="19" t="str">
        <f>RIGHT(Table2[[#This Row],[Date]],2)</f>
        <v>01</v>
      </c>
      <c r="L48" s="19" t="str">
        <f>TEXT(Table2[[#This Row],[New Date]], "ddd")</f>
        <v>Sat</v>
      </c>
      <c r="M48" s="19" t="str">
        <f t="shared" si="0"/>
        <v>Moderate</v>
      </c>
    </row>
    <row r="49" spans="1:13" ht="15.75" customHeight="1">
      <c r="A49" s="18" t="s">
        <v>80</v>
      </c>
      <c r="B49" s="19">
        <v>62</v>
      </c>
      <c r="C49" s="19">
        <v>27</v>
      </c>
      <c r="D49" s="19">
        <v>20</v>
      </c>
      <c r="E49" s="19">
        <v>8</v>
      </c>
      <c r="F49" s="19">
        <v>13</v>
      </c>
      <c r="G49" s="18">
        <v>0.4</v>
      </c>
      <c r="H49" s="18">
        <v>1.74</v>
      </c>
      <c r="I49" s="19">
        <v>47</v>
      </c>
      <c r="J49" s="31" t="str">
        <f>LEFT(Table2[[#This Row],[Date]],10)</f>
        <v>2016-11-12</v>
      </c>
      <c r="K49" s="19" t="str">
        <f>RIGHT(Table2[[#This Row],[Date]],2)</f>
        <v>00</v>
      </c>
      <c r="L49" s="19" t="str">
        <f>TEXT(Table2[[#This Row],[New Date]], "ddd")</f>
        <v>Sat</v>
      </c>
      <c r="M49" s="19" t="str">
        <f t="shared" si="0"/>
        <v>Moderate</v>
      </c>
    </row>
    <row r="50" spans="1:13" ht="15.75" customHeight="1">
      <c r="A50" s="18" t="s">
        <v>81</v>
      </c>
      <c r="B50" s="19">
        <v>66</v>
      </c>
      <c r="C50" s="19">
        <v>27</v>
      </c>
      <c r="D50" s="19">
        <v>12</v>
      </c>
      <c r="E50" s="19">
        <v>16</v>
      </c>
      <c r="F50" s="19">
        <v>14</v>
      </c>
      <c r="G50" s="18">
        <v>0.4</v>
      </c>
      <c r="H50" s="18">
        <v>1.48</v>
      </c>
      <c r="I50" s="19">
        <v>40</v>
      </c>
      <c r="J50" s="31" t="str">
        <f>LEFT(Table2[[#This Row],[Date]],10)</f>
        <v>2016-11-11</v>
      </c>
      <c r="K50" s="19" t="str">
        <f>RIGHT(Table2[[#This Row],[Date]],2)</f>
        <v>23</v>
      </c>
      <c r="L50" s="19" t="str">
        <f>TEXT(Table2[[#This Row],[New Date]], "ddd")</f>
        <v>Fri</v>
      </c>
      <c r="M50" s="19" t="str">
        <f t="shared" si="0"/>
        <v>Moderate</v>
      </c>
    </row>
    <row r="51" spans="1:13" ht="15.75" customHeight="1">
      <c r="A51" s="18" t="s">
        <v>82</v>
      </c>
      <c r="B51" s="19">
        <v>76</v>
      </c>
      <c r="C51" s="19">
        <v>32</v>
      </c>
      <c r="D51" s="19">
        <v>7</v>
      </c>
      <c r="E51" s="19">
        <v>25</v>
      </c>
      <c r="F51" s="19">
        <v>16</v>
      </c>
      <c r="G51" s="18">
        <v>0.4</v>
      </c>
      <c r="H51" s="18">
        <v>0.56000000000000005</v>
      </c>
      <c r="I51" s="19">
        <v>18</v>
      </c>
      <c r="J51" s="31" t="str">
        <f>LEFT(Table2[[#This Row],[Date]],10)</f>
        <v>2016-11-11</v>
      </c>
      <c r="K51" s="19" t="str">
        <f>RIGHT(Table2[[#This Row],[Date]],2)</f>
        <v>22</v>
      </c>
      <c r="L51" s="19" t="str">
        <f>TEXT(Table2[[#This Row],[New Date]], "ddd")</f>
        <v>Fri</v>
      </c>
      <c r="M51" s="19" t="str">
        <f t="shared" si="0"/>
        <v>Peak</v>
      </c>
    </row>
    <row r="52" spans="1:13" ht="15.75" customHeight="1">
      <c r="A52" s="18" t="s">
        <v>83</v>
      </c>
      <c r="B52" s="19">
        <v>73</v>
      </c>
      <c r="C52" s="19">
        <v>29</v>
      </c>
      <c r="D52" s="19">
        <v>11</v>
      </c>
      <c r="E52" s="19">
        <v>18</v>
      </c>
      <c r="F52" s="19">
        <v>17</v>
      </c>
      <c r="G52" s="18">
        <v>0.4</v>
      </c>
      <c r="H52" s="18">
        <v>0.72</v>
      </c>
      <c r="I52" s="19">
        <v>21</v>
      </c>
      <c r="J52" s="31" t="str">
        <f>LEFT(Table2[[#This Row],[Date]],10)</f>
        <v>2016-11-11</v>
      </c>
      <c r="K52" s="19" t="str">
        <f>RIGHT(Table2[[#This Row],[Date]],2)</f>
        <v>21</v>
      </c>
      <c r="L52" s="19" t="str">
        <f>TEXT(Table2[[#This Row],[New Date]], "ddd")</f>
        <v>Fri</v>
      </c>
      <c r="M52" s="19" t="str">
        <f t="shared" si="0"/>
        <v>Peak</v>
      </c>
    </row>
    <row r="53" spans="1:13" ht="15.75" customHeight="1">
      <c r="A53" s="18" t="s">
        <v>84</v>
      </c>
      <c r="B53" s="19">
        <v>68</v>
      </c>
      <c r="C53" s="19">
        <v>25</v>
      </c>
      <c r="D53" s="19">
        <v>17</v>
      </c>
      <c r="E53" s="19">
        <v>8</v>
      </c>
      <c r="F53" s="19">
        <v>19</v>
      </c>
      <c r="G53" s="18">
        <v>0.4</v>
      </c>
      <c r="H53" s="18">
        <v>1.24</v>
      </c>
      <c r="I53" s="19">
        <v>31</v>
      </c>
      <c r="J53" s="31" t="str">
        <f>LEFT(Table2[[#This Row],[Date]],10)</f>
        <v>2016-11-11</v>
      </c>
      <c r="K53" s="19" t="str">
        <f>RIGHT(Table2[[#This Row],[Date]],2)</f>
        <v>20</v>
      </c>
      <c r="L53" s="19" t="str">
        <f>TEXT(Table2[[#This Row],[New Date]], "ddd")</f>
        <v>Fri</v>
      </c>
      <c r="M53" s="19" t="str">
        <f t="shared" si="0"/>
        <v>Moderate</v>
      </c>
    </row>
    <row r="54" spans="1:13" ht="15.75" customHeight="1">
      <c r="A54" s="18" t="s">
        <v>85</v>
      </c>
      <c r="B54" s="19">
        <v>68</v>
      </c>
      <c r="C54" s="19">
        <v>27</v>
      </c>
      <c r="D54" s="19">
        <v>18</v>
      </c>
      <c r="E54" s="19">
        <v>10</v>
      </c>
      <c r="F54" s="19">
        <v>17</v>
      </c>
      <c r="G54" s="18">
        <v>0.4</v>
      </c>
      <c r="H54" s="18">
        <v>1.33</v>
      </c>
      <c r="I54" s="19">
        <v>36</v>
      </c>
      <c r="J54" s="31" t="str">
        <f>LEFT(Table2[[#This Row],[Date]],10)</f>
        <v>2016-11-11</v>
      </c>
      <c r="K54" s="19" t="str">
        <f>RIGHT(Table2[[#This Row],[Date]],2)</f>
        <v>19</v>
      </c>
      <c r="L54" s="19" t="str">
        <f>TEXT(Table2[[#This Row],[New Date]], "ddd")</f>
        <v>Fri</v>
      </c>
      <c r="M54" s="19" t="str">
        <f t="shared" si="0"/>
        <v>Peak</v>
      </c>
    </row>
    <row r="55" spans="1:13" ht="15.75" customHeight="1">
      <c r="A55" s="18" t="s">
        <v>86</v>
      </c>
      <c r="B55" s="19">
        <v>66</v>
      </c>
      <c r="C55" s="19">
        <v>27</v>
      </c>
      <c r="D55" s="19">
        <v>19</v>
      </c>
      <c r="E55" s="19">
        <v>9</v>
      </c>
      <c r="F55" s="19">
        <v>17</v>
      </c>
      <c r="G55" s="18">
        <v>0.4</v>
      </c>
      <c r="H55" s="18">
        <v>1.07</v>
      </c>
      <c r="I55" s="19">
        <v>29</v>
      </c>
      <c r="J55" s="31" t="str">
        <f>LEFT(Table2[[#This Row],[Date]],10)</f>
        <v>2016-11-11</v>
      </c>
      <c r="K55" s="19" t="str">
        <f>RIGHT(Table2[[#This Row],[Date]],2)</f>
        <v>18</v>
      </c>
      <c r="L55" s="19" t="str">
        <f>TEXT(Table2[[#This Row],[New Date]], "ddd")</f>
        <v>Fri</v>
      </c>
      <c r="M55" s="19" t="str">
        <f t="shared" si="0"/>
        <v>Peak</v>
      </c>
    </row>
    <row r="56" spans="1:13" ht="15.75" customHeight="1">
      <c r="A56" s="18" t="s">
        <v>87</v>
      </c>
      <c r="B56" s="19">
        <v>64</v>
      </c>
      <c r="C56" s="19">
        <v>29</v>
      </c>
      <c r="D56" s="19">
        <v>18</v>
      </c>
      <c r="E56" s="19">
        <v>10</v>
      </c>
      <c r="F56" s="19">
        <v>16</v>
      </c>
      <c r="G56" s="18">
        <v>0.5</v>
      </c>
      <c r="H56" s="18">
        <v>0.9</v>
      </c>
      <c r="I56" s="19">
        <v>26</v>
      </c>
      <c r="J56" s="31" t="str">
        <f>LEFT(Table2[[#This Row],[Date]],10)</f>
        <v>2016-11-11</v>
      </c>
      <c r="K56" s="19" t="str">
        <f>RIGHT(Table2[[#This Row],[Date]],2)</f>
        <v>17</v>
      </c>
      <c r="L56" s="19" t="str">
        <f>TEXT(Table2[[#This Row],[New Date]], "ddd")</f>
        <v>Fri</v>
      </c>
      <c r="M56" s="19" t="str">
        <f t="shared" si="0"/>
        <v>Peak</v>
      </c>
    </row>
    <row r="57" spans="1:13" ht="15.75" customHeight="1">
      <c r="A57" s="18" t="s">
        <v>88</v>
      </c>
      <c r="B57" s="19">
        <v>67</v>
      </c>
      <c r="C57" s="19">
        <v>25</v>
      </c>
      <c r="D57" s="19">
        <v>12</v>
      </c>
      <c r="E57" s="19">
        <v>13</v>
      </c>
      <c r="F57" s="19">
        <v>18</v>
      </c>
      <c r="G57" s="18">
        <v>0.4</v>
      </c>
      <c r="H57" s="18">
        <v>0.92</v>
      </c>
      <c r="I57" s="19">
        <v>23</v>
      </c>
      <c r="J57" s="31" t="str">
        <f>LEFT(Table2[[#This Row],[Date]],10)</f>
        <v>2016-11-11</v>
      </c>
      <c r="K57" s="19" t="str">
        <f>RIGHT(Table2[[#This Row],[Date]],2)</f>
        <v>16</v>
      </c>
      <c r="L57" s="19" t="str">
        <f>TEXT(Table2[[#This Row],[New Date]], "ddd")</f>
        <v>Fri</v>
      </c>
      <c r="M57" s="19" t="str">
        <f t="shared" si="0"/>
        <v>Peak</v>
      </c>
    </row>
    <row r="58" spans="1:13" ht="15.75" customHeight="1">
      <c r="A58" s="18" t="s">
        <v>89</v>
      </c>
      <c r="B58" s="19">
        <v>70</v>
      </c>
      <c r="C58" s="19">
        <v>23</v>
      </c>
      <c r="D58" s="19">
        <v>7</v>
      </c>
      <c r="E58" s="19">
        <v>16</v>
      </c>
      <c r="F58" s="19">
        <v>16</v>
      </c>
      <c r="G58" s="18">
        <v>0.3</v>
      </c>
      <c r="H58" s="18">
        <v>0.39</v>
      </c>
      <c r="I58" s="19">
        <v>9</v>
      </c>
      <c r="J58" s="31" t="str">
        <f>LEFT(Table2[[#This Row],[Date]],10)</f>
        <v>2016-11-11</v>
      </c>
      <c r="K58" s="19" t="str">
        <f>RIGHT(Table2[[#This Row],[Date]],2)</f>
        <v>15</v>
      </c>
      <c r="L58" s="19" t="str">
        <f>TEXT(Table2[[#This Row],[New Date]], "ddd")</f>
        <v>Fri</v>
      </c>
      <c r="M58" s="19" t="str">
        <f t="shared" si="0"/>
        <v>Peak</v>
      </c>
    </row>
    <row r="59" spans="1:13" ht="15.75" customHeight="1">
      <c r="A59" s="18" t="s">
        <v>90</v>
      </c>
      <c r="B59" s="19">
        <v>53</v>
      </c>
      <c r="C59" s="19">
        <v>22</v>
      </c>
      <c r="D59" s="19">
        <v>4</v>
      </c>
      <c r="E59" s="19">
        <v>17</v>
      </c>
      <c r="F59" s="19">
        <v>17</v>
      </c>
      <c r="G59" s="18">
        <v>0.4</v>
      </c>
      <c r="H59" s="18">
        <v>0.45</v>
      </c>
      <c r="I59" s="19">
        <v>10</v>
      </c>
      <c r="J59" s="31" t="str">
        <f>LEFT(Table2[[#This Row],[Date]],10)</f>
        <v>2016-11-11</v>
      </c>
      <c r="K59" s="19" t="str">
        <f>RIGHT(Table2[[#This Row],[Date]],2)</f>
        <v>14</v>
      </c>
      <c r="L59" s="19" t="str">
        <f>TEXT(Table2[[#This Row],[New Date]], "ddd")</f>
        <v>Fri</v>
      </c>
      <c r="M59" s="19" t="str">
        <f t="shared" si="0"/>
        <v>Peak</v>
      </c>
    </row>
    <row r="60" spans="1:13" ht="15.75" customHeight="1">
      <c r="A60" s="18" t="s">
        <v>91</v>
      </c>
      <c r="B60" s="19">
        <v>67</v>
      </c>
      <c r="C60" s="19">
        <v>25</v>
      </c>
      <c r="D60" s="19">
        <v>6</v>
      </c>
      <c r="E60" s="19">
        <v>20</v>
      </c>
      <c r="F60" s="19">
        <v>15</v>
      </c>
      <c r="G60" s="18">
        <v>0.4</v>
      </c>
      <c r="H60" s="18">
        <v>0.44</v>
      </c>
      <c r="I60" s="19">
        <v>11</v>
      </c>
      <c r="J60" s="31" t="str">
        <f>LEFT(Table2[[#This Row],[Date]],10)</f>
        <v>2016-11-11</v>
      </c>
      <c r="K60" s="19" t="str">
        <f>RIGHT(Table2[[#This Row],[Date]],2)</f>
        <v>13</v>
      </c>
      <c r="L60" s="19" t="str">
        <f>TEXT(Table2[[#This Row],[New Date]], "ddd")</f>
        <v>Fri</v>
      </c>
      <c r="M60" s="19" t="str">
        <f t="shared" si="0"/>
        <v>Moderate</v>
      </c>
    </row>
    <row r="61" spans="1:13" ht="15.75" customHeight="1">
      <c r="A61" s="18" t="s">
        <v>92</v>
      </c>
      <c r="B61" s="19">
        <v>69</v>
      </c>
      <c r="C61" s="19">
        <v>24</v>
      </c>
      <c r="D61" s="19">
        <v>6</v>
      </c>
      <c r="E61" s="19">
        <v>18</v>
      </c>
      <c r="F61" s="19">
        <v>18</v>
      </c>
      <c r="G61" s="18">
        <v>0.3</v>
      </c>
      <c r="H61" s="18">
        <v>0.54</v>
      </c>
      <c r="I61" s="19">
        <v>13</v>
      </c>
      <c r="J61" s="31" t="str">
        <f>LEFT(Table2[[#This Row],[Date]],10)</f>
        <v>2016-11-11</v>
      </c>
      <c r="K61" s="19" t="str">
        <f>RIGHT(Table2[[#This Row],[Date]],2)</f>
        <v>12</v>
      </c>
      <c r="L61" s="19" t="str">
        <f>TEXT(Table2[[#This Row],[New Date]], "ddd")</f>
        <v>Fri</v>
      </c>
      <c r="M61" s="19" t="str">
        <f t="shared" si="0"/>
        <v>Peak</v>
      </c>
    </row>
    <row r="62" spans="1:13" ht="15.75" customHeight="1">
      <c r="A62" s="18" t="s">
        <v>93</v>
      </c>
      <c r="B62" s="19">
        <v>61</v>
      </c>
      <c r="C62" s="19">
        <v>24</v>
      </c>
      <c r="D62" s="19">
        <v>6</v>
      </c>
      <c r="E62" s="19">
        <v>18</v>
      </c>
      <c r="F62" s="19">
        <v>13</v>
      </c>
      <c r="G62" s="18">
        <v>0.4</v>
      </c>
      <c r="H62" s="18">
        <v>0.57999999999999996</v>
      </c>
      <c r="I62" s="19">
        <v>14</v>
      </c>
      <c r="J62" s="31" t="str">
        <f>LEFT(Table2[[#This Row],[Date]],10)</f>
        <v>2016-11-11</v>
      </c>
      <c r="K62" s="19" t="str">
        <f>RIGHT(Table2[[#This Row],[Date]],2)</f>
        <v>11</v>
      </c>
      <c r="L62" s="19" t="str">
        <f>TEXT(Table2[[#This Row],[New Date]], "ddd")</f>
        <v>Fri</v>
      </c>
      <c r="M62" s="19" t="str">
        <f t="shared" si="0"/>
        <v>Moderate</v>
      </c>
    </row>
    <row r="63" spans="1:13" ht="15.75" customHeight="1">
      <c r="A63" s="18" t="s">
        <v>94</v>
      </c>
      <c r="B63" s="19">
        <v>65</v>
      </c>
      <c r="C63" s="19">
        <v>25</v>
      </c>
      <c r="D63" s="19">
        <v>6</v>
      </c>
      <c r="E63" s="19">
        <v>19</v>
      </c>
      <c r="F63" s="19">
        <v>18</v>
      </c>
      <c r="G63" s="18">
        <v>0.4</v>
      </c>
      <c r="H63" s="18">
        <v>0.24</v>
      </c>
      <c r="I63" s="19">
        <v>6</v>
      </c>
      <c r="J63" s="31" t="str">
        <f>LEFT(Table2[[#This Row],[Date]],10)</f>
        <v>2016-11-11</v>
      </c>
      <c r="K63" s="19" t="str">
        <f>RIGHT(Table2[[#This Row],[Date]],2)</f>
        <v>10</v>
      </c>
      <c r="L63" s="19" t="str">
        <f>TEXT(Table2[[#This Row],[New Date]], "ddd")</f>
        <v>Fri</v>
      </c>
      <c r="M63" s="19" t="str">
        <f t="shared" si="0"/>
        <v>Peak</v>
      </c>
    </row>
    <row r="64" spans="1:13" ht="15.75" customHeight="1">
      <c r="A64" s="18" t="s">
        <v>95</v>
      </c>
      <c r="B64" s="19">
        <v>66</v>
      </c>
      <c r="C64" s="19">
        <v>24</v>
      </c>
      <c r="D64" s="19">
        <v>13</v>
      </c>
      <c r="E64" s="19">
        <v>11</v>
      </c>
      <c r="F64" s="19">
        <v>16</v>
      </c>
      <c r="G64" s="18">
        <v>0.4</v>
      </c>
      <c r="H64" s="18">
        <v>1.17</v>
      </c>
      <c r="I64" s="19">
        <v>28</v>
      </c>
      <c r="J64" s="31" t="str">
        <f>LEFT(Table2[[#This Row],[Date]],10)</f>
        <v>2016-11-11</v>
      </c>
      <c r="K64" s="19" t="str">
        <f>RIGHT(Table2[[#This Row],[Date]],2)</f>
        <v>09</v>
      </c>
      <c r="L64" s="19" t="str">
        <f>TEXT(Table2[[#This Row],[New Date]], "ddd")</f>
        <v>Fri</v>
      </c>
      <c r="M64" s="19" t="str">
        <f t="shared" si="0"/>
        <v>Peak</v>
      </c>
    </row>
    <row r="65" spans="1:13" ht="15.75" customHeight="1">
      <c r="A65" s="18" t="s">
        <v>96</v>
      </c>
      <c r="B65" s="19">
        <v>49</v>
      </c>
      <c r="C65" s="19">
        <v>20</v>
      </c>
      <c r="D65" s="19">
        <v>10</v>
      </c>
      <c r="E65" s="19">
        <v>10</v>
      </c>
      <c r="F65" s="19">
        <v>11</v>
      </c>
      <c r="G65" s="18">
        <v>0.4</v>
      </c>
      <c r="H65" s="18">
        <v>1.2</v>
      </c>
      <c r="I65" s="19">
        <v>24</v>
      </c>
      <c r="J65" s="31" t="str">
        <f>LEFT(Table2[[#This Row],[Date]],10)</f>
        <v>2016-11-11</v>
      </c>
      <c r="K65" s="19" t="str">
        <f>RIGHT(Table2[[#This Row],[Date]],2)</f>
        <v>08</v>
      </c>
      <c r="L65" s="19" t="str">
        <f>TEXT(Table2[[#This Row],[New Date]], "ddd")</f>
        <v>Fri</v>
      </c>
      <c r="M65" s="19" t="str">
        <f t="shared" si="0"/>
        <v>Moderate</v>
      </c>
    </row>
    <row r="66" spans="1:13" ht="15.75" customHeight="1">
      <c r="A66" s="18" t="s">
        <v>97</v>
      </c>
      <c r="B66" s="19">
        <v>36</v>
      </c>
      <c r="C66" s="19">
        <v>14</v>
      </c>
      <c r="D66" s="19">
        <v>3</v>
      </c>
      <c r="E66" s="19">
        <v>11</v>
      </c>
      <c r="F66" s="19">
        <v>4</v>
      </c>
      <c r="G66" s="18">
        <v>0.4</v>
      </c>
      <c r="H66" s="18">
        <v>0.5</v>
      </c>
      <c r="I66" s="19">
        <v>7</v>
      </c>
      <c r="J66" s="31" t="str">
        <f>LEFT(Table2[[#This Row],[Date]],10)</f>
        <v>2016-11-11</v>
      </c>
      <c r="K66" s="19" t="str">
        <f>RIGHT(Table2[[#This Row],[Date]],2)</f>
        <v>07</v>
      </c>
      <c r="L66" s="19" t="str">
        <f>TEXT(Table2[[#This Row],[New Date]], "ddd")</f>
        <v>Fri</v>
      </c>
      <c r="M66" s="19" t="str">
        <f t="shared" si="0"/>
        <v>Off-Peak</v>
      </c>
    </row>
    <row r="67" spans="1:13" ht="15.75" customHeight="1">
      <c r="A67" s="18" t="s">
        <v>98</v>
      </c>
      <c r="B67" s="19">
        <v>18</v>
      </c>
      <c r="C67" s="19">
        <v>8</v>
      </c>
      <c r="D67" s="19">
        <v>0</v>
      </c>
      <c r="E67" s="19">
        <v>8</v>
      </c>
      <c r="F67" s="19">
        <v>4</v>
      </c>
      <c r="G67" s="18">
        <v>0.4</v>
      </c>
      <c r="H67" s="18">
        <v>0.13</v>
      </c>
      <c r="I67" s="19">
        <v>1</v>
      </c>
      <c r="J67" s="31" t="str">
        <f>LEFT(Table2[[#This Row],[Date]],10)</f>
        <v>2016-11-11</v>
      </c>
      <c r="K67" s="19" t="str">
        <f>RIGHT(Table2[[#This Row],[Date]],2)</f>
        <v>06</v>
      </c>
      <c r="L67" s="19" t="str">
        <f>TEXT(Table2[[#This Row],[New Date]], "ddd")</f>
        <v>Fri</v>
      </c>
      <c r="M67" s="19" t="str">
        <f t="shared" ref="M67:M130" si="1">IF(OR(VALUE(F67)&lt;=5, VALUE(F67)&gt;=20), "Off-Peak", IF(OR(VALUE(F67)=7, VALUE(F67)=8, VALUE(F67)=9, VALUE(F67)=16, VALUE(F67)=17, VALUE(F67)=18), "Peak", "Moderate"))</f>
        <v>Off-Peak</v>
      </c>
    </row>
    <row r="68" spans="1:13" ht="15.75" customHeight="1">
      <c r="A68" s="18" t="s">
        <v>99</v>
      </c>
      <c r="B68" s="19">
        <v>21</v>
      </c>
      <c r="C68" s="19">
        <v>8</v>
      </c>
      <c r="D68" s="19">
        <v>1</v>
      </c>
      <c r="E68" s="19">
        <v>7</v>
      </c>
      <c r="F68" s="19">
        <v>5</v>
      </c>
      <c r="G68" s="18">
        <v>0.4</v>
      </c>
      <c r="H68" s="18">
        <v>0.13</v>
      </c>
      <c r="I68" s="19">
        <v>1</v>
      </c>
      <c r="J68" s="31" t="str">
        <f>LEFT(Table2[[#This Row],[Date]],10)</f>
        <v>2016-11-11</v>
      </c>
      <c r="K68" s="19" t="str">
        <f>RIGHT(Table2[[#This Row],[Date]],2)</f>
        <v>05</v>
      </c>
      <c r="L68" s="19" t="str">
        <f>TEXT(Table2[[#This Row],[New Date]], "ddd")</f>
        <v>Fri</v>
      </c>
      <c r="M68" s="19" t="str">
        <f t="shared" si="1"/>
        <v>Off-Peak</v>
      </c>
    </row>
    <row r="69" spans="1:13" ht="15.75" customHeight="1">
      <c r="A69" s="18" t="s">
        <v>100</v>
      </c>
      <c r="B69" s="19">
        <v>25</v>
      </c>
      <c r="C69" s="19">
        <v>10</v>
      </c>
      <c r="D69" s="19">
        <v>1</v>
      </c>
      <c r="E69" s="19">
        <v>9</v>
      </c>
      <c r="F69" s="19">
        <v>7</v>
      </c>
      <c r="G69" s="18">
        <v>0.4</v>
      </c>
      <c r="H69" s="18">
        <v>0.2</v>
      </c>
      <c r="I69" s="19">
        <v>2</v>
      </c>
      <c r="J69" s="31" t="str">
        <f>LEFT(Table2[[#This Row],[Date]],10)</f>
        <v>2016-11-11</v>
      </c>
      <c r="K69" s="19" t="str">
        <f>RIGHT(Table2[[#This Row],[Date]],2)</f>
        <v>04</v>
      </c>
      <c r="L69" s="19" t="str">
        <f>TEXT(Table2[[#This Row],[New Date]], "ddd")</f>
        <v>Fri</v>
      </c>
      <c r="M69" s="19" t="str">
        <f t="shared" si="1"/>
        <v>Peak</v>
      </c>
    </row>
    <row r="70" spans="1:13" ht="15.75" customHeight="1">
      <c r="A70" s="18" t="s">
        <v>101</v>
      </c>
      <c r="B70" s="19">
        <v>25</v>
      </c>
      <c r="C70" s="19">
        <v>9</v>
      </c>
      <c r="D70" s="19">
        <v>0</v>
      </c>
      <c r="E70" s="19">
        <v>9</v>
      </c>
      <c r="F70" s="19">
        <v>7</v>
      </c>
      <c r="G70" s="18">
        <v>0.4</v>
      </c>
      <c r="H70" s="19">
        <v>0</v>
      </c>
      <c r="I70" s="18">
        <v>0</v>
      </c>
      <c r="J70" s="31" t="str">
        <f>LEFT(Table2[[#This Row],[Date]],10)</f>
        <v>2016-11-11</v>
      </c>
      <c r="K70" s="19" t="str">
        <f>RIGHT(Table2[[#This Row],[Date]],2)</f>
        <v>03</v>
      </c>
      <c r="L70" s="19" t="str">
        <f>TEXT(Table2[[#This Row],[New Date]], "ddd")</f>
        <v>Fri</v>
      </c>
      <c r="M70" s="19" t="str">
        <f t="shared" si="1"/>
        <v>Peak</v>
      </c>
    </row>
    <row r="71" spans="1:13" ht="15.75" customHeight="1">
      <c r="A71" s="18" t="s">
        <v>102</v>
      </c>
      <c r="B71" s="19">
        <v>30</v>
      </c>
      <c r="C71" s="19">
        <v>13</v>
      </c>
      <c r="D71" s="19">
        <v>2</v>
      </c>
      <c r="E71" s="19">
        <v>11</v>
      </c>
      <c r="F71" s="19">
        <v>7</v>
      </c>
      <c r="G71" s="18">
        <v>0.4</v>
      </c>
      <c r="H71" s="18">
        <v>0.38</v>
      </c>
      <c r="I71" s="19">
        <v>5</v>
      </c>
      <c r="J71" s="31" t="str">
        <f>LEFT(Table2[[#This Row],[Date]],10)</f>
        <v>2016-11-11</v>
      </c>
      <c r="K71" s="19" t="str">
        <f>RIGHT(Table2[[#This Row],[Date]],2)</f>
        <v>02</v>
      </c>
      <c r="L71" s="19" t="str">
        <f>TEXT(Table2[[#This Row],[New Date]], "ddd")</f>
        <v>Fri</v>
      </c>
      <c r="M71" s="19" t="str">
        <f t="shared" si="1"/>
        <v>Peak</v>
      </c>
    </row>
    <row r="72" spans="1:13" ht="15.75" customHeight="1">
      <c r="A72" s="18" t="s">
        <v>103</v>
      </c>
      <c r="B72" s="19">
        <v>44</v>
      </c>
      <c r="C72" s="19">
        <v>18</v>
      </c>
      <c r="D72" s="19">
        <v>3</v>
      </c>
      <c r="E72" s="19">
        <v>15</v>
      </c>
      <c r="F72" s="19">
        <v>11</v>
      </c>
      <c r="G72" s="18">
        <v>0.4</v>
      </c>
      <c r="H72" s="18">
        <v>0.39</v>
      </c>
      <c r="I72" s="19">
        <v>7</v>
      </c>
      <c r="J72" s="31" t="str">
        <f>LEFT(Table2[[#This Row],[Date]],10)</f>
        <v>2016-11-11</v>
      </c>
      <c r="K72" s="19" t="str">
        <f>RIGHT(Table2[[#This Row],[Date]],2)</f>
        <v>01</v>
      </c>
      <c r="L72" s="19" t="str">
        <f>TEXT(Table2[[#This Row],[New Date]], "ddd")</f>
        <v>Fri</v>
      </c>
      <c r="M72" s="19" t="str">
        <f t="shared" si="1"/>
        <v>Moderate</v>
      </c>
    </row>
    <row r="73" spans="1:13" ht="15.75" customHeight="1">
      <c r="A73" s="18" t="s">
        <v>104</v>
      </c>
      <c r="B73" s="19">
        <v>53</v>
      </c>
      <c r="C73" s="19">
        <v>19</v>
      </c>
      <c r="D73" s="19">
        <v>4</v>
      </c>
      <c r="E73" s="19">
        <v>14</v>
      </c>
      <c r="F73" s="19">
        <v>18</v>
      </c>
      <c r="G73" s="18">
        <v>0.4</v>
      </c>
      <c r="H73" s="18">
        <v>0.68</v>
      </c>
      <c r="I73" s="19">
        <v>13</v>
      </c>
      <c r="J73" s="31" t="str">
        <f>LEFT(Table2[[#This Row],[Date]],10)</f>
        <v>2016-11-11</v>
      </c>
      <c r="K73" s="19" t="str">
        <f>RIGHT(Table2[[#This Row],[Date]],2)</f>
        <v>00</v>
      </c>
      <c r="L73" s="19" t="str">
        <f>TEXT(Table2[[#This Row],[New Date]], "ddd")</f>
        <v>Fri</v>
      </c>
      <c r="M73" s="19" t="str">
        <f t="shared" si="1"/>
        <v>Peak</v>
      </c>
    </row>
    <row r="74" spans="1:13" ht="15.75" customHeight="1">
      <c r="A74" s="18" t="s">
        <v>105</v>
      </c>
      <c r="B74" s="19">
        <v>64</v>
      </c>
      <c r="C74" s="19">
        <v>23</v>
      </c>
      <c r="D74" s="19">
        <v>7</v>
      </c>
      <c r="E74" s="19">
        <v>17</v>
      </c>
      <c r="F74" s="19">
        <v>20</v>
      </c>
      <c r="G74" s="18">
        <v>0.4</v>
      </c>
      <c r="H74" s="18">
        <v>0.56999999999999995</v>
      </c>
      <c r="I74" s="19">
        <v>13</v>
      </c>
      <c r="J74" s="31" t="str">
        <f>LEFT(Table2[[#This Row],[Date]],10)</f>
        <v>2016-11-10</v>
      </c>
      <c r="K74" s="19" t="str">
        <f>RIGHT(Table2[[#This Row],[Date]],2)</f>
        <v>23</v>
      </c>
      <c r="L74" s="19" t="str">
        <f>TEXT(Table2[[#This Row],[New Date]], "ddd")</f>
        <v>Thu</v>
      </c>
      <c r="M74" s="19" t="str">
        <f t="shared" si="1"/>
        <v>Off-Peak</v>
      </c>
    </row>
    <row r="75" spans="1:13" ht="15.75" customHeight="1">
      <c r="A75" s="18" t="s">
        <v>106</v>
      </c>
      <c r="B75" s="19">
        <v>71</v>
      </c>
      <c r="C75" s="19">
        <v>31</v>
      </c>
      <c r="D75" s="19">
        <v>6</v>
      </c>
      <c r="E75" s="19">
        <v>25</v>
      </c>
      <c r="F75" s="19">
        <v>23</v>
      </c>
      <c r="G75" s="18">
        <v>0.4</v>
      </c>
      <c r="H75" s="18">
        <v>0.57999999999999996</v>
      </c>
      <c r="I75" s="19">
        <v>18</v>
      </c>
      <c r="J75" s="31" t="str">
        <f>LEFT(Table2[[#This Row],[Date]],10)</f>
        <v>2016-11-10</v>
      </c>
      <c r="K75" s="19" t="str">
        <f>RIGHT(Table2[[#This Row],[Date]],2)</f>
        <v>22</v>
      </c>
      <c r="L75" s="19" t="str">
        <f>TEXT(Table2[[#This Row],[New Date]], "ddd")</f>
        <v>Thu</v>
      </c>
      <c r="M75" s="19" t="str">
        <f t="shared" si="1"/>
        <v>Off-Peak</v>
      </c>
    </row>
    <row r="76" spans="1:13" ht="15.75" customHeight="1">
      <c r="A76" s="18" t="s">
        <v>107</v>
      </c>
      <c r="B76" s="19">
        <v>93</v>
      </c>
      <c r="C76" s="19">
        <v>34</v>
      </c>
      <c r="D76" s="19">
        <v>3</v>
      </c>
      <c r="E76" s="19">
        <v>31</v>
      </c>
      <c r="F76" s="19">
        <v>24</v>
      </c>
      <c r="G76" s="18">
        <v>0.4</v>
      </c>
      <c r="H76" s="18">
        <v>0.28999999999999998</v>
      </c>
      <c r="I76" s="19">
        <v>10</v>
      </c>
      <c r="J76" s="31" t="str">
        <f>LEFT(Table2[[#This Row],[Date]],10)</f>
        <v>2016-11-10</v>
      </c>
      <c r="K76" s="19" t="str">
        <f>RIGHT(Table2[[#This Row],[Date]],2)</f>
        <v>21</v>
      </c>
      <c r="L76" s="19" t="str">
        <f>TEXT(Table2[[#This Row],[New Date]], "ddd")</f>
        <v>Thu</v>
      </c>
      <c r="M76" s="19" t="str">
        <f t="shared" si="1"/>
        <v>Off-Peak</v>
      </c>
    </row>
    <row r="77" spans="1:13" ht="15.75" customHeight="1">
      <c r="A77" s="18" t="s">
        <v>108</v>
      </c>
      <c r="B77" s="19">
        <v>99</v>
      </c>
      <c r="C77" s="19">
        <v>45</v>
      </c>
      <c r="D77" s="19">
        <v>8</v>
      </c>
      <c r="E77" s="19">
        <v>37</v>
      </c>
      <c r="F77" s="19">
        <v>23</v>
      </c>
      <c r="G77" s="18">
        <v>0.5</v>
      </c>
      <c r="H77" s="18">
        <v>0.42</v>
      </c>
      <c r="I77" s="19">
        <v>19</v>
      </c>
      <c r="J77" s="31" t="str">
        <f>LEFT(Table2[[#This Row],[Date]],10)</f>
        <v>2016-11-10</v>
      </c>
      <c r="K77" s="19" t="str">
        <f>RIGHT(Table2[[#This Row],[Date]],2)</f>
        <v>20</v>
      </c>
      <c r="L77" s="19" t="str">
        <f>TEXT(Table2[[#This Row],[New Date]], "ddd")</f>
        <v>Thu</v>
      </c>
      <c r="M77" s="19" t="str">
        <f t="shared" si="1"/>
        <v>Off-Peak</v>
      </c>
    </row>
    <row r="78" spans="1:13" ht="15.75" customHeight="1">
      <c r="A78" s="18" t="s">
        <v>109</v>
      </c>
      <c r="B78" s="19">
        <v>103</v>
      </c>
      <c r="C78" s="19">
        <v>45</v>
      </c>
      <c r="D78" s="19">
        <v>13</v>
      </c>
      <c r="E78" s="19">
        <v>32</v>
      </c>
      <c r="F78" s="19">
        <v>29</v>
      </c>
      <c r="G78" s="18">
        <v>0.4</v>
      </c>
      <c r="H78" s="18">
        <v>0.57999999999999996</v>
      </c>
      <c r="I78" s="19">
        <v>26</v>
      </c>
      <c r="J78" s="31" t="str">
        <f>LEFT(Table2[[#This Row],[Date]],10)</f>
        <v>2016-11-10</v>
      </c>
      <c r="K78" s="19" t="str">
        <f>RIGHT(Table2[[#This Row],[Date]],2)</f>
        <v>19</v>
      </c>
      <c r="L78" s="19" t="str">
        <f>TEXT(Table2[[#This Row],[New Date]], "ddd")</f>
        <v>Thu</v>
      </c>
      <c r="M78" s="19" t="str">
        <f t="shared" si="1"/>
        <v>Off-Peak</v>
      </c>
    </row>
    <row r="79" spans="1:13" ht="15.75" customHeight="1">
      <c r="A79" s="18" t="s">
        <v>110</v>
      </c>
      <c r="B79" s="19">
        <v>99</v>
      </c>
      <c r="C79" s="19">
        <v>40</v>
      </c>
      <c r="D79" s="19">
        <v>18</v>
      </c>
      <c r="E79" s="19">
        <v>22</v>
      </c>
      <c r="F79" s="19">
        <v>25</v>
      </c>
      <c r="G79" s="18">
        <v>0.4</v>
      </c>
      <c r="H79" s="18">
        <v>0.7</v>
      </c>
      <c r="I79" s="19">
        <v>28</v>
      </c>
      <c r="J79" s="31" t="str">
        <f>LEFT(Table2[[#This Row],[Date]],10)</f>
        <v>2016-11-10</v>
      </c>
      <c r="K79" s="19" t="str">
        <f>RIGHT(Table2[[#This Row],[Date]],2)</f>
        <v>18</v>
      </c>
      <c r="L79" s="19" t="str">
        <f>TEXT(Table2[[#This Row],[New Date]], "ddd")</f>
        <v>Thu</v>
      </c>
      <c r="M79" s="19" t="str">
        <f t="shared" si="1"/>
        <v>Off-Peak</v>
      </c>
    </row>
    <row r="80" spans="1:13" ht="15.75" customHeight="1">
      <c r="A80" s="18" t="s">
        <v>111</v>
      </c>
      <c r="B80" s="19">
        <v>90</v>
      </c>
      <c r="C80" s="19">
        <v>35</v>
      </c>
      <c r="D80" s="19">
        <v>10</v>
      </c>
      <c r="E80" s="19">
        <v>24</v>
      </c>
      <c r="F80" s="19">
        <v>23</v>
      </c>
      <c r="G80" s="18">
        <v>0.4</v>
      </c>
      <c r="H80" s="18">
        <v>0.63</v>
      </c>
      <c r="I80" s="19">
        <v>22</v>
      </c>
      <c r="J80" s="31" t="str">
        <f>LEFT(Table2[[#This Row],[Date]],10)</f>
        <v>2016-11-10</v>
      </c>
      <c r="K80" s="19" t="str">
        <f>RIGHT(Table2[[#This Row],[Date]],2)</f>
        <v>17</v>
      </c>
      <c r="L80" s="19" t="str">
        <f>TEXT(Table2[[#This Row],[New Date]], "ddd")</f>
        <v>Thu</v>
      </c>
      <c r="M80" s="19" t="str">
        <f t="shared" si="1"/>
        <v>Off-Peak</v>
      </c>
    </row>
    <row r="81" spans="1:13" ht="15.75" customHeight="1">
      <c r="A81" s="18" t="s">
        <v>112</v>
      </c>
      <c r="B81" s="19">
        <v>79</v>
      </c>
      <c r="C81" s="19">
        <v>33</v>
      </c>
      <c r="D81" s="19">
        <v>4</v>
      </c>
      <c r="E81" s="19">
        <v>29</v>
      </c>
      <c r="F81" s="19">
        <v>24</v>
      </c>
      <c r="G81" s="18">
        <v>0.4</v>
      </c>
      <c r="H81" s="18">
        <v>0.24</v>
      </c>
      <c r="I81" s="19">
        <v>8</v>
      </c>
      <c r="J81" s="31" t="str">
        <f>LEFT(Table2[[#This Row],[Date]],10)</f>
        <v>2016-11-10</v>
      </c>
      <c r="K81" s="19" t="str">
        <f>RIGHT(Table2[[#This Row],[Date]],2)</f>
        <v>16</v>
      </c>
      <c r="L81" s="19" t="str">
        <f>TEXT(Table2[[#This Row],[New Date]], "ddd")</f>
        <v>Thu</v>
      </c>
      <c r="M81" s="19" t="str">
        <f t="shared" si="1"/>
        <v>Off-Peak</v>
      </c>
    </row>
    <row r="82" spans="1:13" ht="15.75" customHeight="1">
      <c r="A82" s="18" t="s">
        <v>113</v>
      </c>
      <c r="B82" s="19">
        <v>81</v>
      </c>
      <c r="C82" s="19">
        <v>30</v>
      </c>
      <c r="D82" s="19">
        <v>1</v>
      </c>
      <c r="E82" s="19">
        <v>29</v>
      </c>
      <c r="F82" s="19">
        <v>25</v>
      </c>
      <c r="G82" s="18">
        <v>0.4</v>
      </c>
      <c r="H82" s="18">
        <v>0.13</v>
      </c>
      <c r="I82" s="19">
        <v>4</v>
      </c>
      <c r="J82" s="31" t="str">
        <f>LEFT(Table2[[#This Row],[Date]],10)</f>
        <v>2016-11-10</v>
      </c>
      <c r="K82" s="19" t="str">
        <f>RIGHT(Table2[[#This Row],[Date]],2)</f>
        <v>15</v>
      </c>
      <c r="L82" s="19" t="str">
        <f>TEXT(Table2[[#This Row],[New Date]], "ddd")</f>
        <v>Thu</v>
      </c>
      <c r="M82" s="19" t="str">
        <f t="shared" si="1"/>
        <v>Off-Peak</v>
      </c>
    </row>
    <row r="83" spans="1:13" ht="15.75" customHeight="1">
      <c r="A83" s="18" t="s">
        <v>114</v>
      </c>
      <c r="B83" s="19">
        <v>79</v>
      </c>
      <c r="C83" s="19">
        <v>34</v>
      </c>
      <c r="D83" s="19">
        <v>3</v>
      </c>
      <c r="E83" s="19">
        <v>31</v>
      </c>
      <c r="F83" s="19">
        <v>19</v>
      </c>
      <c r="G83" s="18">
        <v>0.4</v>
      </c>
      <c r="H83" s="18">
        <v>0.21</v>
      </c>
      <c r="I83" s="19">
        <v>7</v>
      </c>
      <c r="J83" s="31" t="str">
        <f>LEFT(Table2[[#This Row],[Date]],10)</f>
        <v>2016-11-10</v>
      </c>
      <c r="K83" s="19" t="str">
        <f>RIGHT(Table2[[#This Row],[Date]],2)</f>
        <v>14</v>
      </c>
      <c r="L83" s="19" t="str">
        <f>TEXT(Table2[[#This Row],[New Date]], "ddd")</f>
        <v>Thu</v>
      </c>
      <c r="M83" s="19" t="str">
        <f t="shared" si="1"/>
        <v>Moderate</v>
      </c>
    </row>
    <row r="84" spans="1:13" ht="15.75" customHeight="1">
      <c r="A84" s="18" t="s">
        <v>115</v>
      </c>
      <c r="B84" s="19">
        <v>87</v>
      </c>
      <c r="C84" s="19">
        <v>28</v>
      </c>
      <c r="D84" s="19">
        <v>3</v>
      </c>
      <c r="E84" s="19">
        <v>24</v>
      </c>
      <c r="F84" s="19">
        <v>23</v>
      </c>
      <c r="G84" s="18">
        <v>0.3</v>
      </c>
      <c r="H84" s="18">
        <v>0.25</v>
      </c>
      <c r="I84" s="19">
        <v>7</v>
      </c>
      <c r="J84" s="31" t="str">
        <f>LEFT(Table2[[#This Row],[Date]],10)</f>
        <v>2016-11-10</v>
      </c>
      <c r="K84" s="19" t="str">
        <f>RIGHT(Table2[[#This Row],[Date]],2)</f>
        <v>13</v>
      </c>
      <c r="L84" s="19" t="str">
        <f>TEXT(Table2[[#This Row],[New Date]], "ddd")</f>
        <v>Thu</v>
      </c>
      <c r="M84" s="19" t="str">
        <f t="shared" si="1"/>
        <v>Off-Peak</v>
      </c>
    </row>
    <row r="85" spans="1:13" ht="15.75" customHeight="1">
      <c r="A85" s="18" t="s">
        <v>116</v>
      </c>
      <c r="B85" s="19">
        <v>78</v>
      </c>
      <c r="C85" s="19">
        <v>27</v>
      </c>
      <c r="D85" s="19">
        <v>4</v>
      </c>
      <c r="E85" s="19">
        <v>23</v>
      </c>
      <c r="F85" s="19">
        <v>23</v>
      </c>
      <c r="G85" s="18">
        <v>0.3</v>
      </c>
      <c r="H85" s="18">
        <v>0.26</v>
      </c>
      <c r="I85" s="19">
        <v>7</v>
      </c>
      <c r="J85" s="31" t="str">
        <f>LEFT(Table2[[#This Row],[Date]],10)</f>
        <v>2016-11-10</v>
      </c>
      <c r="K85" s="19" t="str">
        <f>RIGHT(Table2[[#This Row],[Date]],2)</f>
        <v>12</v>
      </c>
      <c r="L85" s="19" t="str">
        <f>TEXT(Table2[[#This Row],[New Date]], "ddd")</f>
        <v>Thu</v>
      </c>
      <c r="M85" s="19" t="str">
        <f t="shared" si="1"/>
        <v>Off-Peak</v>
      </c>
    </row>
    <row r="86" spans="1:13" ht="15.75" customHeight="1">
      <c r="A86" s="18" t="s">
        <v>117</v>
      </c>
      <c r="B86" s="19">
        <v>78</v>
      </c>
      <c r="C86" s="19">
        <v>31</v>
      </c>
      <c r="D86" s="19">
        <v>4</v>
      </c>
      <c r="E86" s="19">
        <v>27</v>
      </c>
      <c r="F86" s="19">
        <v>17</v>
      </c>
      <c r="G86" s="18">
        <v>0.4</v>
      </c>
      <c r="H86" s="18">
        <v>0.19</v>
      </c>
      <c r="I86" s="19">
        <v>6</v>
      </c>
      <c r="J86" s="31" t="str">
        <f>LEFT(Table2[[#This Row],[Date]],10)</f>
        <v>2016-11-10</v>
      </c>
      <c r="K86" s="19" t="str">
        <f>RIGHT(Table2[[#This Row],[Date]],2)</f>
        <v>11</v>
      </c>
      <c r="L86" s="19" t="str">
        <f>TEXT(Table2[[#This Row],[New Date]], "ddd")</f>
        <v>Thu</v>
      </c>
      <c r="M86" s="19" t="str">
        <f t="shared" si="1"/>
        <v>Peak</v>
      </c>
    </row>
    <row r="87" spans="1:13" ht="15.75" customHeight="1">
      <c r="A87" s="18" t="s">
        <v>118</v>
      </c>
      <c r="B87" s="19">
        <v>75</v>
      </c>
      <c r="C87" s="19">
        <v>31</v>
      </c>
      <c r="D87" s="19">
        <v>7</v>
      </c>
      <c r="E87" s="19">
        <v>23</v>
      </c>
      <c r="F87" s="19">
        <v>16</v>
      </c>
      <c r="G87" s="18">
        <v>0.4</v>
      </c>
      <c r="H87" s="18">
        <v>0.32</v>
      </c>
      <c r="I87" s="19">
        <v>10</v>
      </c>
      <c r="J87" s="31" t="str">
        <f>LEFT(Table2[[#This Row],[Date]],10)</f>
        <v>2016-11-10</v>
      </c>
      <c r="K87" s="19" t="str">
        <f>RIGHT(Table2[[#This Row],[Date]],2)</f>
        <v>10</v>
      </c>
      <c r="L87" s="19" t="str">
        <f>TEXT(Table2[[#This Row],[New Date]], "ddd")</f>
        <v>Thu</v>
      </c>
      <c r="M87" s="19" t="str">
        <f t="shared" si="1"/>
        <v>Peak</v>
      </c>
    </row>
    <row r="88" spans="1:13" ht="15.75" customHeight="1">
      <c r="A88" s="18" t="s">
        <v>119</v>
      </c>
      <c r="B88" s="19">
        <v>63</v>
      </c>
      <c r="C88" s="19">
        <v>26</v>
      </c>
      <c r="D88" s="19">
        <v>12</v>
      </c>
      <c r="E88" s="19">
        <v>13</v>
      </c>
      <c r="F88" s="19">
        <v>13</v>
      </c>
      <c r="G88" s="18">
        <v>0.4</v>
      </c>
      <c r="H88" s="18">
        <v>1</v>
      </c>
      <c r="I88" s="19">
        <v>26</v>
      </c>
      <c r="J88" s="31" t="str">
        <f>LEFT(Table2[[#This Row],[Date]],10)</f>
        <v>2016-11-10</v>
      </c>
      <c r="K88" s="19" t="str">
        <f>RIGHT(Table2[[#This Row],[Date]],2)</f>
        <v>09</v>
      </c>
      <c r="L88" s="19" t="str">
        <f>TEXT(Table2[[#This Row],[New Date]], "ddd")</f>
        <v>Thu</v>
      </c>
      <c r="M88" s="19" t="str">
        <f t="shared" si="1"/>
        <v>Moderate</v>
      </c>
    </row>
    <row r="89" spans="1:13" ht="15.75" customHeight="1">
      <c r="A89" s="18" t="s">
        <v>120</v>
      </c>
      <c r="B89" s="19">
        <v>54</v>
      </c>
      <c r="C89" s="19">
        <v>16</v>
      </c>
      <c r="D89" s="19">
        <v>7</v>
      </c>
      <c r="E89" s="19">
        <v>9</v>
      </c>
      <c r="F89" s="19">
        <v>16</v>
      </c>
      <c r="G89" s="18">
        <v>0.3</v>
      </c>
      <c r="H89" s="18">
        <v>0.69</v>
      </c>
      <c r="I89" s="19">
        <v>11</v>
      </c>
      <c r="J89" s="31" t="str">
        <f>LEFT(Table2[[#This Row],[Date]],10)</f>
        <v>2016-11-10</v>
      </c>
      <c r="K89" s="19" t="str">
        <f>RIGHT(Table2[[#This Row],[Date]],2)</f>
        <v>08</v>
      </c>
      <c r="L89" s="19" t="str">
        <f>TEXT(Table2[[#This Row],[New Date]], "ddd")</f>
        <v>Thu</v>
      </c>
      <c r="M89" s="19" t="str">
        <f t="shared" si="1"/>
        <v>Peak</v>
      </c>
    </row>
    <row r="90" spans="1:13" ht="15.75" customHeight="1">
      <c r="A90" s="18" t="s">
        <v>121</v>
      </c>
      <c r="B90" s="19">
        <v>41</v>
      </c>
      <c r="C90" s="19">
        <v>14</v>
      </c>
      <c r="D90" s="19">
        <v>4</v>
      </c>
      <c r="E90" s="19">
        <v>11</v>
      </c>
      <c r="F90" s="19">
        <v>11</v>
      </c>
      <c r="G90" s="18">
        <v>0.3</v>
      </c>
      <c r="H90" s="18">
        <v>0.71</v>
      </c>
      <c r="I90" s="19">
        <v>10</v>
      </c>
      <c r="J90" s="31" t="str">
        <f>LEFT(Table2[[#This Row],[Date]],10)</f>
        <v>2016-11-10</v>
      </c>
      <c r="K90" s="19" t="str">
        <f>RIGHT(Table2[[#This Row],[Date]],2)</f>
        <v>07</v>
      </c>
      <c r="L90" s="19" t="str">
        <f>TEXT(Table2[[#This Row],[New Date]], "ddd")</f>
        <v>Thu</v>
      </c>
      <c r="M90" s="19" t="str">
        <f t="shared" si="1"/>
        <v>Moderate</v>
      </c>
    </row>
    <row r="91" spans="1:13" ht="15.75" customHeight="1">
      <c r="A91" s="18" t="s">
        <v>122</v>
      </c>
      <c r="B91" s="19">
        <v>32</v>
      </c>
      <c r="C91" s="19">
        <v>12</v>
      </c>
      <c r="D91" s="19">
        <v>0</v>
      </c>
      <c r="E91" s="19">
        <v>12</v>
      </c>
      <c r="F91" s="19">
        <v>10</v>
      </c>
      <c r="G91" s="18">
        <v>0.4</v>
      </c>
      <c r="H91" s="18">
        <v>0.08</v>
      </c>
      <c r="I91" s="19">
        <v>1</v>
      </c>
      <c r="J91" s="31" t="str">
        <f>LEFT(Table2[[#This Row],[Date]],10)</f>
        <v>2016-11-10</v>
      </c>
      <c r="K91" s="19" t="str">
        <f>RIGHT(Table2[[#This Row],[Date]],2)</f>
        <v>06</v>
      </c>
      <c r="L91" s="19" t="str">
        <f>TEXT(Table2[[#This Row],[New Date]], "ddd")</f>
        <v>Thu</v>
      </c>
      <c r="M91" s="19" t="str">
        <f t="shared" si="1"/>
        <v>Moderate</v>
      </c>
    </row>
    <row r="92" spans="1:13" ht="15.75" customHeight="1">
      <c r="A92" s="18" t="s">
        <v>123</v>
      </c>
      <c r="B92" s="19">
        <v>26</v>
      </c>
      <c r="C92" s="19">
        <v>11</v>
      </c>
      <c r="D92" s="19">
        <v>0</v>
      </c>
      <c r="E92" s="19">
        <v>10</v>
      </c>
      <c r="F92" s="19">
        <v>11</v>
      </c>
      <c r="G92" s="18">
        <v>0.4</v>
      </c>
      <c r="H92" s="18">
        <v>0.09</v>
      </c>
      <c r="I92" s="19">
        <v>1</v>
      </c>
      <c r="J92" s="31" t="str">
        <f>LEFT(Table2[[#This Row],[Date]],10)</f>
        <v>2016-11-10</v>
      </c>
      <c r="K92" s="19" t="str">
        <f>RIGHT(Table2[[#This Row],[Date]],2)</f>
        <v>05</v>
      </c>
      <c r="L92" s="19" t="str">
        <f>TEXT(Table2[[#This Row],[New Date]], "ddd")</f>
        <v>Thu</v>
      </c>
      <c r="M92" s="19" t="str">
        <f t="shared" si="1"/>
        <v>Moderate</v>
      </c>
    </row>
    <row r="93" spans="1:13" ht="15.75" customHeight="1">
      <c r="A93" s="18" t="s">
        <v>124</v>
      </c>
      <c r="B93" s="19">
        <v>26</v>
      </c>
      <c r="C93" s="19">
        <v>11</v>
      </c>
      <c r="D93" s="19">
        <v>0</v>
      </c>
      <c r="E93" s="19">
        <v>11</v>
      </c>
      <c r="F93" s="19">
        <v>10</v>
      </c>
      <c r="G93" s="18">
        <v>0.4</v>
      </c>
      <c r="H93" s="18">
        <v>0.09</v>
      </c>
      <c r="I93" s="19">
        <v>1</v>
      </c>
      <c r="J93" s="31" t="str">
        <f>LEFT(Table2[[#This Row],[Date]],10)</f>
        <v>2016-11-10</v>
      </c>
      <c r="K93" s="19" t="str">
        <f>RIGHT(Table2[[#This Row],[Date]],2)</f>
        <v>04</v>
      </c>
      <c r="L93" s="19" t="str">
        <f>TEXT(Table2[[#This Row],[New Date]], "ddd")</f>
        <v>Thu</v>
      </c>
      <c r="M93" s="19" t="str">
        <f t="shared" si="1"/>
        <v>Moderate</v>
      </c>
    </row>
    <row r="94" spans="1:13" ht="15.75" customHeight="1">
      <c r="A94" s="18" t="s">
        <v>125</v>
      </c>
      <c r="B94" s="19">
        <v>26</v>
      </c>
      <c r="C94" s="19">
        <v>10</v>
      </c>
      <c r="D94" s="19">
        <v>0</v>
      </c>
      <c r="E94" s="19">
        <v>10</v>
      </c>
      <c r="F94" s="19">
        <v>10</v>
      </c>
      <c r="G94" s="18">
        <v>0.4</v>
      </c>
      <c r="H94" s="19">
        <v>0</v>
      </c>
      <c r="I94" s="18">
        <v>0</v>
      </c>
      <c r="J94" s="31" t="str">
        <f>LEFT(Table2[[#This Row],[Date]],10)</f>
        <v>2016-11-10</v>
      </c>
      <c r="K94" s="19" t="str">
        <f>RIGHT(Table2[[#This Row],[Date]],2)</f>
        <v>03</v>
      </c>
      <c r="L94" s="19" t="str">
        <f>TEXT(Table2[[#This Row],[New Date]], "ddd")</f>
        <v>Thu</v>
      </c>
      <c r="M94" s="19" t="str">
        <f t="shared" si="1"/>
        <v>Moderate</v>
      </c>
    </row>
    <row r="95" spans="1:13" ht="15.75" customHeight="1">
      <c r="A95" s="18" t="s">
        <v>126</v>
      </c>
      <c r="B95" s="19">
        <v>31</v>
      </c>
      <c r="C95" s="19">
        <v>13</v>
      </c>
      <c r="D95" s="19">
        <v>0</v>
      </c>
      <c r="E95" s="19">
        <v>13</v>
      </c>
      <c r="F95" s="19">
        <v>9</v>
      </c>
      <c r="G95" s="18">
        <v>0.4</v>
      </c>
      <c r="H95" s="19">
        <v>0</v>
      </c>
      <c r="I95" s="18">
        <v>0</v>
      </c>
      <c r="J95" s="31" t="str">
        <f>LEFT(Table2[[#This Row],[Date]],10)</f>
        <v>2016-11-10</v>
      </c>
      <c r="K95" s="19" t="str">
        <f>RIGHT(Table2[[#This Row],[Date]],2)</f>
        <v>02</v>
      </c>
      <c r="L95" s="19" t="str">
        <f>TEXT(Table2[[#This Row],[New Date]], "ddd")</f>
        <v>Thu</v>
      </c>
      <c r="M95" s="19" t="str">
        <f t="shared" si="1"/>
        <v>Peak</v>
      </c>
    </row>
    <row r="96" spans="1:13" ht="15.75" customHeight="1">
      <c r="A96" s="18" t="s">
        <v>127</v>
      </c>
      <c r="B96" s="19">
        <v>38</v>
      </c>
      <c r="C96" s="19">
        <v>15</v>
      </c>
      <c r="D96" s="19">
        <v>2</v>
      </c>
      <c r="E96" s="19">
        <v>13</v>
      </c>
      <c r="F96" s="19">
        <v>10</v>
      </c>
      <c r="G96" s="18">
        <v>0.4</v>
      </c>
      <c r="H96" s="18">
        <v>0.4</v>
      </c>
      <c r="I96" s="19">
        <v>6</v>
      </c>
      <c r="J96" s="31" t="str">
        <f>LEFT(Table2[[#This Row],[Date]],10)</f>
        <v>2016-11-10</v>
      </c>
      <c r="K96" s="19" t="str">
        <f>RIGHT(Table2[[#This Row],[Date]],2)</f>
        <v>01</v>
      </c>
      <c r="L96" s="19" t="str">
        <f>TEXT(Table2[[#This Row],[New Date]], "ddd")</f>
        <v>Thu</v>
      </c>
      <c r="M96" s="19" t="str">
        <f t="shared" si="1"/>
        <v>Moderate</v>
      </c>
    </row>
    <row r="97" spans="1:13" ht="15.75" customHeight="1">
      <c r="A97" s="18" t="s">
        <v>128</v>
      </c>
      <c r="B97" s="19">
        <v>49</v>
      </c>
      <c r="C97" s="19">
        <v>18</v>
      </c>
      <c r="D97" s="19">
        <v>4</v>
      </c>
      <c r="E97" s="19">
        <v>14</v>
      </c>
      <c r="F97" s="19">
        <v>16</v>
      </c>
      <c r="G97" s="18">
        <v>0.4</v>
      </c>
      <c r="H97" s="18">
        <v>0.44</v>
      </c>
      <c r="I97" s="19">
        <v>8</v>
      </c>
      <c r="J97" s="31" t="str">
        <f>LEFT(Table2[[#This Row],[Date]],10)</f>
        <v>2016-11-10</v>
      </c>
      <c r="K97" s="19" t="str">
        <f>RIGHT(Table2[[#This Row],[Date]],2)</f>
        <v>00</v>
      </c>
      <c r="L97" s="19" t="str">
        <f>TEXT(Table2[[#This Row],[New Date]], "ddd")</f>
        <v>Thu</v>
      </c>
      <c r="M97" s="19" t="str">
        <f t="shared" si="1"/>
        <v>Peak</v>
      </c>
    </row>
    <row r="98" spans="1:13" ht="15.75" customHeight="1">
      <c r="A98" s="18" t="s">
        <v>129</v>
      </c>
      <c r="B98" s="19">
        <v>66</v>
      </c>
      <c r="C98" s="19">
        <v>24</v>
      </c>
      <c r="D98" s="19">
        <v>5</v>
      </c>
      <c r="E98" s="19">
        <v>19</v>
      </c>
      <c r="F98" s="19">
        <v>19</v>
      </c>
      <c r="G98" s="18">
        <v>0.4</v>
      </c>
      <c r="H98" s="18">
        <v>0.63</v>
      </c>
      <c r="I98" s="19">
        <v>15</v>
      </c>
      <c r="J98" s="31" t="str">
        <f>LEFT(Table2[[#This Row],[Date]],10)</f>
        <v>2016-11-09</v>
      </c>
      <c r="K98" s="19" t="str">
        <f>RIGHT(Table2[[#This Row],[Date]],2)</f>
        <v>23</v>
      </c>
      <c r="L98" s="19" t="str">
        <f>TEXT(Table2[[#This Row],[New Date]], "ddd")</f>
        <v>Wed</v>
      </c>
      <c r="M98" s="19" t="str">
        <f t="shared" si="1"/>
        <v>Moderate</v>
      </c>
    </row>
    <row r="99" spans="1:13" ht="15.75" customHeight="1">
      <c r="A99" s="18" t="s">
        <v>130</v>
      </c>
      <c r="B99" s="19">
        <v>86</v>
      </c>
      <c r="C99" s="19">
        <v>27</v>
      </c>
      <c r="D99" s="19">
        <v>5</v>
      </c>
      <c r="E99" s="19">
        <v>22</v>
      </c>
      <c r="F99" s="19">
        <v>23</v>
      </c>
      <c r="G99" s="18">
        <v>0.3</v>
      </c>
      <c r="H99" s="18">
        <v>0.48</v>
      </c>
      <c r="I99" s="19">
        <v>13</v>
      </c>
      <c r="J99" s="31" t="str">
        <f>LEFT(Table2[[#This Row],[Date]],10)</f>
        <v>2016-11-09</v>
      </c>
      <c r="K99" s="19" t="str">
        <f>RIGHT(Table2[[#This Row],[Date]],2)</f>
        <v>22</v>
      </c>
      <c r="L99" s="19" t="str">
        <f>TEXT(Table2[[#This Row],[New Date]], "ddd")</f>
        <v>Wed</v>
      </c>
      <c r="M99" s="19" t="str">
        <f t="shared" si="1"/>
        <v>Off-Peak</v>
      </c>
    </row>
    <row r="100" spans="1:13" ht="15.75" customHeight="1">
      <c r="A100" s="18" t="s">
        <v>131</v>
      </c>
      <c r="B100" s="19">
        <v>90</v>
      </c>
      <c r="C100" s="19">
        <v>36</v>
      </c>
      <c r="D100" s="19">
        <v>6</v>
      </c>
      <c r="E100" s="19">
        <v>30</v>
      </c>
      <c r="F100" s="19">
        <v>20</v>
      </c>
      <c r="G100" s="18">
        <v>0.4</v>
      </c>
      <c r="H100" s="18">
        <v>0.47</v>
      </c>
      <c r="I100" s="19">
        <v>17</v>
      </c>
      <c r="J100" s="31" t="str">
        <f>LEFT(Table2[[#This Row],[Date]],10)</f>
        <v>2016-11-09</v>
      </c>
      <c r="K100" s="19" t="str">
        <f>RIGHT(Table2[[#This Row],[Date]],2)</f>
        <v>21</v>
      </c>
      <c r="L100" s="19" t="str">
        <f>TEXT(Table2[[#This Row],[New Date]], "ddd")</f>
        <v>Wed</v>
      </c>
      <c r="M100" s="19" t="str">
        <f t="shared" si="1"/>
        <v>Off-Peak</v>
      </c>
    </row>
    <row r="101" spans="1:13" ht="15.75" customHeight="1">
      <c r="A101" s="18" t="s">
        <v>132</v>
      </c>
      <c r="B101" s="19">
        <v>94</v>
      </c>
      <c r="C101" s="19">
        <v>45</v>
      </c>
      <c r="D101" s="19">
        <v>11</v>
      </c>
      <c r="E101" s="19">
        <v>34</v>
      </c>
      <c r="F101" s="19">
        <v>20</v>
      </c>
      <c r="G101" s="18">
        <v>0.5</v>
      </c>
      <c r="H101" s="18">
        <v>0.51</v>
      </c>
      <c r="I101" s="19">
        <v>23</v>
      </c>
      <c r="J101" s="31" t="str">
        <f>LEFT(Table2[[#This Row],[Date]],10)</f>
        <v>2016-11-09</v>
      </c>
      <c r="K101" s="19" t="str">
        <f>RIGHT(Table2[[#This Row],[Date]],2)</f>
        <v>20</v>
      </c>
      <c r="L101" s="19" t="str">
        <f>TEXT(Table2[[#This Row],[New Date]], "ddd")</f>
        <v>Wed</v>
      </c>
      <c r="M101" s="19" t="str">
        <f t="shared" si="1"/>
        <v>Off-Peak</v>
      </c>
    </row>
    <row r="102" spans="1:13" ht="15.75" customHeight="1">
      <c r="A102" s="18" t="s">
        <v>133</v>
      </c>
      <c r="B102" s="19">
        <v>93</v>
      </c>
      <c r="C102" s="19">
        <v>41</v>
      </c>
      <c r="D102" s="19">
        <v>18</v>
      </c>
      <c r="E102" s="19">
        <v>23</v>
      </c>
      <c r="F102" s="19">
        <v>20</v>
      </c>
      <c r="G102" s="18">
        <v>0.4</v>
      </c>
      <c r="H102" s="18">
        <v>0.68</v>
      </c>
      <c r="I102" s="19">
        <v>28</v>
      </c>
      <c r="J102" s="31" t="str">
        <f>LEFT(Table2[[#This Row],[Date]],10)</f>
        <v>2016-11-09</v>
      </c>
      <c r="K102" s="19" t="str">
        <f>RIGHT(Table2[[#This Row],[Date]],2)</f>
        <v>19</v>
      </c>
      <c r="L102" s="19" t="str">
        <f>TEXT(Table2[[#This Row],[New Date]], "ddd")</f>
        <v>Wed</v>
      </c>
      <c r="M102" s="19" t="str">
        <f t="shared" si="1"/>
        <v>Off-Peak</v>
      </c>
    </row>
    <row r="103" spans="1:13" ht="15.75" customHeight="1">
      <c r="A103" s="18" t="s">
        <v>134</v>
      </c>
      <c r="B103" s="19">
        <v>86</v>
      </c>
      <c r="C103" s="19">
        <v>33</v>
      </c>
      <c r="D103" s="19">
        <v>17</v>
      </c>
      <c r="E103" s="19">
        <v>16</v>
      </c>
      <c r="F103" s="19">
        <v>23</v>
      </c>
      <c r="G103" s="18">
        <v>0.4</v>
      </c>
      <c r="H103" s="18">
        <v>0.94</v>
      </c>
      <c r="I103" s="19">
        <v>31</v>
      </c>
      <c r="J103" s="31" t="str">
        <f>LEFT(Table2[[#This Row],[Date]],10)</f>
        <v>2016-11-09</v>
      </c>
      <c r="K103" s="19" t="str">
        <f>RIGHT(Table2[[#This Row],[Date]],2)</f>
        <v>18</v>
      </c>
      <c r="L103" s="19" t="str">
        <f>TEXT(Table2[[#This Row],[New Date]], "ddd")</f>
        <v>Wed</v>
      </c>
      <c r="M103" s="19" t="str">
        <f t="shared" si="1"/>
        <v>Off-Peak</v>
      </c>
    </row>
    <row r="104" spans="1:13" ht="15.75" customHeight="1">
      <c r="A104" s="18" t="s">
        <v>135</v>
      </c>
      <c r="B104" s="19">
        <v>85</v>
      </c>
      <c r="C104" s="19">
        <v>37</v>
      </c>
      <c r="D104" s="19">
        <v>10</v>
      </c>
      <c r="E104" s="19">
        <v>27</v>
      </c>
      <c r="F104" s="19">
        <v>21</v>
      </c>
      <c r="G104" s="18">
        <v>0.4</v>
      </c>
      <c r="H104" s="18">
        <v>0.43</v>
      </c>
      <c r="I104" s="19">
        <v>16</v>
      </c>
      <c r="J104" s="31" t="str">
        <f>LEFT(Table2[[#This Row],[Date]],10)</f>
        <v>2016-11-09</v>
      </c>
      <c r="K104" s="19" t="str">
        <f>RIGHT(Table2[[#This Row],[Date]],2)</f>
        <v>17</v>
      </c>
      <c r="L104" s="19" t="str">
        <f>TEXT(Table2[[#This Row],[New Date]], "ddd")</f>
        <v>Wed</v>
      </c>
      <c r="M104" s="19" t="str">
        <f t="shared" si="1"/>
        <v>Off-Peak</v>
      </c>
    </row>
    <row r="105" spans="1:13" ht="15.75" customHeight="1">
      <c r="A105" s="18" t="s">
        <v>136</v>
      </c>
      <c r="B105" s="19">
        <v>95</v>
      </c>
      <c r="C105" s="19">
        <v>28</v>
      </c>
      <c r="D105" s="19">
        <v>5</v>
      </c>
      <c r="E105" s="19">
        <v>22</v>
      </c>
      <c r="F105" s="19">
        <v>24</v>
      </c>
      <c r="G105" s="18">
        <v>0.3</v>
      </c>
      <c r="H105" s="18">
        <v>0.46</v>
      </c>
      <c r="I105" s="19">
        <v>13</v>
      </c>
      <c r="J105" s="31" t="str">
        <f>LEFT(Table2[[#This Row],[Date]],10)</f>
        <v>2016-11-09</v>
      </c>
      <c r="K105" s="19" t="str">
        <f>RIGHT(Table2[[#This Row],[Date]],2)</f>
        <v>16</v>
      </c>
      <c r="L105" s="19" t="str">
        <f>TEXT(Table2[[#This Row],[New Date]], "ddd")</f>
        <v>Wed</v>
      </c>
      <c r="M105" s="19" t="str">
        <f t="shared" si="1"/>
        <v>Off-Peak</v>
      </c>
    </row>
    <row r="106" spans="1:13" ht="15.75" customHeight="1">
      <c r="A106" s="18" t="s">
        <v>137</v>
      </c>
      <c r="B106" s="19">
        <v>75</v>
      </c>
      <c r="C106" s="19">
        <v>26</v>
      </c>
      <c r="D106" s="19">
        <v>2</v>
      </c>
      <c r="E106" s="19">
        <v>24</v>
      </c>
      <c r="F106" s="19">
        <v>21</v>
      </c>
      <c r="G106" s="18">
        <v>0.3</v>
      </c>
      <c r="H106" s="18">
        <v>0.15</v>
      </c>
      <c r="I106" s="19">
        <v>4</v>
      </c>
      <c r="J106" s="31" t="str">
        <f>LEFT(Table2[[#This Row],[Date]],10)</f>
        <v>2016-11-09</v>
      </c>
      <c r="K106" s="19" t="str">
        <f>RIGHT(Table2[[#This Row],[Date]],2)</f>
        <v>15</v>
      </c>
      <c r="L106" s="19" t="str">
        <f>TEXT(Table2[[#This Row],[New Date]], "ddd")</f>
        <v>Wed</v>
      </c>
      <c r="M106" s="19" t="str">
        <f t="shared" si="1"/>
        <v>Off-Peak</v>
      </c>
    </row>
    <row r="107" spans="1:13" ht="15.75" customHeight="1">
      <c r="A107" s="18" t="s">
        <v>138</v>
      </c>
      <c r="B107" s="19">
        <v>72</v>
      </c>
      <c r="C107" s="19">
        <v>28</v>
      </c>
      <c r="D107" s="19">
        <v>2</v>
      </c>
      <c r="E107" s="19">
        <v>26</v>
      </c>
      <c r="F107" s="19">
        <v>20</v>
      </c>
      <c r="G107" s="18">
        <v>0.4</v>
      </c>
      <c r="H107" s="18">
        <v>0.14000000000000001</v>
      </c>
      <c r="I107" s="19">
        <v>4</v>
      </c>
      <c r="J107" s="31" t="str">
        <f>LEFT(Table2[[#This Row],[Date]],10)</f>
        <v>2016-11-09</v>
      </c>
      <c r="K107" s="19" t="str">
        <f>RIGHT(Table2[[#This Row],[Date]],2)</f>
        <v>14</v>
      </c>
      <c r="L107" s="19" t="str">
        <f>TEXT(Table2[[#This Row],[New Date]], "ddd")</f>
        <v>Wed</v>
      </c>
      <c r="M107" s="19" t="str">
        <f t="shared" si="1"/>
        <v>Off-Peak</v>
      </c>
    </row>
    <row r="108" spans="1:13" ht="15.75" customHeight="1">
      <c r="A108" s="18" t="s">
        <v>139</v>
      </c>
      <c r="B108" s="19">
        <v>81</v>
      </c>
      <c r="C108" s="19">
        <v>30</v>
      </c>
      <c r="D108" s="19">
        <v>4</v>
      </c>
      <c r="E108" s="19">
        <v>25</v>
      </c>
      <c r="F108" s="19">
        <v>21</v>
      </c>
      <c r="G108" s="18">
        <v>0.4</v>
      </c>
      <c r="H108" s="18">
        <v>0.17</v>
      </c>
      <c r="I108" s="19">
        <v>5</v>
      </c>
      <c r="J108" s="31" t="str">
        <f>LEFT(Table2[[#This Row],[Date]],10)</f>
        <v>2016-11-09</v>
      </c>
      <c r="K108" s="19" t="str">
        <f>RIGHT(Table2[[#This Row],[Date]],2)</f>
        <v>13</v>
      </c>
      <c r="L108" s="19" t="str">
        <f>TEXT(Table2[[#This Row],[New Date]], "ddd")</f>
        <v>Wed</v>
      </c>
      <c r="M108" s="19" t="str">
        <f t="shared" si="1"/>
        <v>Off-Peak</v>
      </c>
    </row>
    <row r="109" spans="1:13" ht="15.75" customHeight="1">
      <c r="A109" s="18" t="s">
        <v>140</v>
      </c>
      <c r="B109" s="19">
        <v>75</v>
      </c>
      <c r="C109" s="19">
        <v>27</v>
      </c>
      <c r="D109" s="19">
        <v>3</v>
      </c>
      <c r="E109" s="19">
        <v>23</v>
      </c>
      <c r="F109" s="19">
        <v>25</v>
      </c>
      <c r="G109" s="18">
        <v>0.4</v>
      </c>
      <c r="H109" s="18">
        <v>0.33</v>
      </c>
      <c r="I109" s="19">
        <v>9</v>
      </c>
      <c r="J109" s="31" t="str">
        <f>LEFT(Table2[[#This Row],[Date]],10)</f>
        <v>2016-11-09</v>
      </c>
      <c r="K109" s="19" t="str">
        <f>RIGHT(Table2[[#This Row],[Date]],2)</f>
        <v>12</v>
      </c>
      <c r="L109" s="19" t="str">
        <f>TEXT(Table2[[#This Row],[New Date]], "ddd")</f>
        <v>Wed</v>
      </c>
      <c r="M109" s="19" t="str">
        <f t="shared" si="1"/>
        <v>Off-Peak</v>
      </c>
    </row>
    <row r="110" spans="1:13" ht="15.75" customHeight="1">
      <c r="A110" s="18" t="s">
        <v>141</v>
      </c>
      <c r="B110" s="19">
        <v>76</v>
      </c>
      <c r="C110" s="19">
        <v>27</v>
      </c>
      <c r="D110" s="19">
        <v>5</v>
      </c>
      <c r="E110" s="19">
        <v>22</v>
      </c>
      <c r="F110" s="19">
        <v>20</v>
      </c>
      <c r="G110" s="18">
        <v>0.4</v>
      </c>
      <c r="H110" s="18">
        <v>0.26</v>
      </c>
      <c r="I110" s="19">
        <v>7</v>
      </c>
      <c r="J110" s="31" t="str">
        <f>LEFT(Table2[[#This Row],[Date]],10)</f>
        <v>2016-11-09</v>
      </c>
      <c r="K110" s="19" t="str">
        <f>RIGHT(Table2[[#This Row],[Date]],2)</f>
        <v>11</v>
      </c>
      <c r="L110" s="19" t="str">
        <f>TEXT(Table2[[#This Row],[New Date]], "ddd")</f>
        <v>Wed</v>
      </c>
      <c r="M110" s="19" t="str">
        <f t="shared" si="1"/>
        <v>Off-Peak</v>
      </c>
    </row>
    <row r="111" spans="1:13" ht="15.75" customHeight="1">
      <c r="A111" s="18" t="s">
        <v>142</v>
      </c>
      <c r="B111" s="19">
        <v>70</v>
      </c>
      <c r="C111" s="19">
        <v>28</v>
      </c>
      <c r="D111" s="19">
        <v>7</v>
      </c>
      <c r="E111" s="19">
        <v>22</v>
      </c>
      <c r="F111" s="19">
        <v>16</v>
      </c>
      <c r="G111" s="18">
        <v>0.4</v>
      </c>
      <c r="H111" s="18">
        <v>0.36</v>
      </c>
      <c r="I111" s="19">
        <v>10</v>
      </c>
      <c r="J111" s="31" t="str">
        <f>LEFT(Table2[[#This Row],[Date]],10)</f>
        <v>2016-11-09</v>
      </c>
      <c r="K111" s="19" t="str">
        <f>RIGHT(Table2[[#This Row],[Date]],2)</f>
        <v>10</v>
      </c>
      <c r="L111" s="19" t="str">
        <f>TEXT(Table2[[#This Row],[New Date]], "ddd")</f>
        <v>Wed</v>
      </c>
      <c r="M111" s="19" t="str">
        <f t="shared" si="1"/>
        <v>Peak</v>
      </c>
    </row>
    <row r="112" spans="1:13" ht="15.75" customHeight="1">
      <c r="A112" s="18" t="s">
        <v>143</v>
      </c>
      <c r="B112" s="19">
        <v>55</v>
      </c>
      <c r="C112" s="19">
        <v>26</v>
      </c>
      <c r="D112" s="19">
        <v>15</v>
      </c>
      <c r="E112" s="19">
        <v>11</v>
      </c>
      <c r="F112" s="19">
        <v>14</v>
      </c>
      <c r="G112" s="18">
        <v>0.5</v>
      </c>
      <c r="H112" s="18">
        <v>1</v>
      </c>
      <c r="I112" s="19">
        <v>26</v>
      </c>
      <c r="J112" s="31" t="str">
        <f>LEFT(Table2[[#This Row],[Date]],10)</f>
        <v>2016-11-09</v>
      </c>
      <c r="K112" s="19" t="str">
        <f>RIGHT(Table2[[#This Row],[Date]],2)</f>
        <v>09</v>
      </c>
      <c r="L112" s="19" t="str">
        <f>TEXT(Table2[[#This Row],[New Date]], "ddd")</f>
        <v>Wed</v>
      </c>
      <c r="M112" s="19" t="str">
        <f t="shared" si="1"/>
        <v>Moderate</v>
      </c>
    </row>
    <row r="113" spans="1:13" ht="15.75" customHeight="1">
      <c r="A113" s="18" t="s">
        <v>144</v>
      </c>
      <c r="B113" s="19">
        <v>49</v>
      </c>
      <c r="C113" s="19">
        <v>18</v>
      </c>
      <c r="D113" s="19">
        <v>10</v>
      </c>
      <c r="E113" s="19">
        <v>8</v>
      </c>
      <c r="F113" s="19">
        <v>10</v>
      </c>
      <c r="G113" s="18">
        <v>0.4</v>
      </c>
      <c r="H113" s="18">
        <v>1.06</v>
      </c>
      <c r="I113" s="19">
        <v>19</v>
      </c>
      <c r="J113" s="31" t="str">
        <f>LEFT(Table2[[#This Row],[Date]],10)</f>
        <v>2016-11-09</v>
      </c>
      <c r="K113" s="19" t="str">
        <f>RIGHT(Table2[[#This Row],[Date]],2)</f>
        <v>08</v>
      </c>
      <c r="L113" s="19" t="str">
        <f>TEXT(Table2[[#This Row],[New Date]], "ddd")</f>
        <v>Wed</v>
      </c>
      <c r="M113" s="19" t="str">
        <f t="shared" si="1"/>
        <v>Moderate</v>
      </c>
    </row>
    <row r="114" spans="1:13" ht="15.75" customHeight="1">
      <c r="A114" s="18" t="s">
        <v>145</v>
      </c>
      <c r="B114" s="19">
        <v>37</v>
      </c>
      <c r="C114" s="19">
        <v>13</v>
      </c>
      <c r="D114" s="19">
        <v>3</v>
      </c>
      <c r="E114" s="19">
        <v>10</v>
      </c>
      <c r="F114" s="19">
        <v>9</v>
      </c>
      <c r="G114" s="18">
        <v>0.4</v>
      </c>
      <c r="H114" s="18">
        <v>0.77</v>
      </c>
      <c r="I114" s="19">
        <v>10</v>
      </c>
      <c r="J114" s="31" t="str">
        <f>LEFT(Table2[[#This Row],[Date]],10)</f>
        <v>2016-11-09</v>
      </c>
      <c r="K114" s="19" t="str">
        <f>RIGHT(Table2[[#This Row],[Date]],2)</f>
        <v>07</v>
      </c>
      <c r="L114" s="19" t="str">
        <f>TEXT(Table2[[#This Row],[New Date]], "ddd")</f>
        <v>Wed</v>
      </c>
      <c r="M114" s="19" t="str">
        <f t="shared" si="1"/>
        <v>Peak</v>
      </c>
    </row>
    <row r="115" spans="1:13" ht="15.75" customHeight="1">
      <c r="A115" s="18" t="s">
        <v>146</v>
      </c>
      <c r="B115" s="19">
        <v>24</v>
      </c>
      <c r="C115" s="19">
        <v>6</v>
      </c>
      <c r="D115" s="19">
        <v>0</v>
      </c>
      <c r="E115" s="19">
        <v>6</v>
      </c>
      <c r="F115" s="19">
        <v>7</v>
      </c>
      <c r="G115" s="18">
        <v>0.3</v>
      </c>
      <c r="H115" s="19">
        <v>0</v>
      </c>
      <c r="I115" s="18">
        <v>0</v>
      </c>
      <c r="J115" s="31" t="str">
        <f>LEFT(Table2[[#This Row],[Date]],10)</f>
        <v>2016-11-09</v>
      </c>
      <c r="K115" s="19" t="str">
        <f>RIGHT(Table2[[#This Row],[Date]],2)</f>
        <v>06</v>
      </c>
      <c r="L115" s="19" t="str">
        <f>TEXT(Table2[[#This Row],[New Date]], "ddd")</f>
        <v>Wed</v>
      </c>
      <c r="M115" s="19" t="str">
        <f t="shared" si="1"/>
        <v>Peak</v>
      </c>
    </row>
    <row r="116" spans="1:13" ht="15.75" customHeight="1">
      <c r="A116" s="18" t="s">
        <v>147</v>
      </c>
      <c r="B116" s="19">
        <v>14</v>
      </c>
      <c r="C116" s="19">
        <v>4</v>
      </c>
      <c r="D116" s="19">
        <v>0</v>
      </c>
      <c r="E116" s="19">
        <v>4</v>
      </c>
      <c r="F116" s="19">
        <v>4</v>
      </c>
      <c r="G116" s="18">
        <v>0.3</v>
      </c>
      <c r="H116" s="18">
        <v>0.25</v>
      </c>
      <c r="I116" s="19">
        <v>1</v>
      </c>
      <c r="J116" s="31" t="str">
        <f>LEFT(Table2[[#This Row],[Date]],10)</f>
        <v>2016-11-09</v>
      </c>
      <c r="K116" s="19" t="str">
        <f>RIGHT(Table2[[#This Row],[Date]],2)</f>
        <v>05</v>
      </c>
      <c r="L116" s="19" t="str">
        <f>TEXT(Table2[[#This Row],[New Date]], "ddd")</f>
        <v>Wed</v>
      </c>
      <c r="M116" s="19" t="str">
        <f t="shared" si="1"/>
        <v>Off-Peak</v>
      </c>
    </row>
    <row r="117" spans="1:13" ht="15.75" customHeight="1">
      <c r="A117" s="18" t="s">
        <v>148</v>
      </c>
      <c r="B117" s="19">
        <v>14</v>
      </c>
      <c r="C117" s="19">
        <v>5</v>
      </c>
      <c r="D117" s="19">
        <v>0</v>
      </c>
      <c r="E117" s="19">
        <v>5</v>
      </c>
      <c r="F117" s="19">
        <v>6</v>
      </c>
      <c r="G117" s="18">
        <v>0.4</v>
      </c>
      <c r="H117" s="19">
        <v>0</v>
      </c>
      <c r="I117" s="18">
        <v>0</v>
      </c>
      <c r="J117" s="31" t="str">
        <f>LEFT(Table2[[#This Row],[Date]],10)</f>
        <v>2016-11-09</v>
      </c>
      <c r="K117" s="19" t="str">
        <f>RIGHT(Table2[[#This Row],[Date]],2)</f>
        <v>04</v>
      </c>
      <c r="L117" s="19" t="str">
        <f>TEXT(Table2[[#This Row],[New Date]], "ddd")</f>
        <v>Wed</v>
      </c>
      <c r="M117" s="19" t="str">
        <f t="shared" si="1"/>
        <v>Moderate</v>
      </c>
    </row>
    <row r="118" spans="1:13" ht="15.75" customHeight="1">
      <c r="A118" s="18" t="s">
        <v>149</v>
      </c>
      <c r="B118" s="19">
        <v>17</v>
      </c>
      <c r="C118" s="19">
        <v>8</v>
      </c>
      <c r="D118" s="19">
        <v>0</v>
      </c>
      <c r="E118" s="19">
        <v>7</v>
      </c>
      <c r="F118" s="19">
        <v>5</v>
      </c>
      <c r="G118" s="18">
        <v>0.5</v>
      </c>
      <c r="H118" s="18">
        <v>0.13</v>
      </c>
      <c r="I118" s="19">
        <v>1</v>
      </c>
      <c r="J118" s="31" t="str">
        <f>LEFT(Table2[[#This Row],[Date]],10)</f>
        <v>2016-11-09</v>
      </c>
      <c r="K118" s="19" t="str">
        <f>RIGHT(Table2[[#This Row],[Date]],2)</f>
        <v>03</v>
      </c>
      <c r="L118" s="19" t="str">
        <f>TEXT(Table2[[#This Row],[New Date]], "ddd")</f>
        <v>Wed</v>
      </c>
      <c r="M118" s="19" t="str">
        <f t="shared" si="1"/>
        <v>Off-Peak</v>
      </c>
    </row>
    <row r="119" spans="1:13" ht="15.75" customHeight="1">
      <c r="A119" s="18" t="s">
        <v>150</v>
      </c>
      <c r="B119" s="19">
        <v>25</v>
      </c>
      <c r="C119" s="19">
        <v>12</v>
      </c>
      <c r="D119" s="19">
        <v>1</v>
      </c>
      <c r="E119" s="19">
        <v>11</v>
      </c>
      <c r="F119" s="19">
        <v>6</v>
      </c>
      <c r="G119" s="18">
        <v>0.5</v>
      </c>
      <c r="H119" s="18">
        <v>0.08</v>
      </c>
      <c r="I119" s="19">
        <v>1</v>
      </c>
      <c r="J119" s="31" t="str">
        <f>LEFT(Table2[[#This Row],[Date]],10)</f>
        <v>2016-11-09</v>
      </c>
      <c r="K119" s="19" t="str">
        <f>RIGHT(Table2[[#This Row],[Date]],2)</f>
        <v>02</v>
      </c>
      <c r="L119" s="19" t="str">
        <f>TEXT(Table2[[#This Row],[New Date]], "ddd")</f>
        <v>Wed</v>
      </c>
      <c r="M119" s="19" t="str">
        <f t="shared" si="1"/>
        <v>Moderate</v>
      </c>
    </row>
    <row r="120" spans="1:13" ht="15.75" customHeight="1">
      <c r="A120" s="18" t="s">
        <v>151</v>
      </c>
      <c r="B120" s="19">
        <v>31</v>
      </c>
      <c r="C120" s="19">
        <v>18</v>
      </c>
      <c r="D120" s="19">
        <v>3</v>
      </c>
      <c r="E120" s="19">
        <v>15</v>
      </c>
      <c r="F120" s="19">
        <v>8</v>
      </c>
      <c r="G120" s="18">
        <v>0.6</v>
      </c>
      <c r="H120" s="18">
        <v>0.39</v>
      </c>
      <c r="I120" s="19">
        <v>7</v>
      </c>
      <c r="J120" s="31" t="str">
        <f>LEFT(Table2[[#This Row],[Date]],10)</f>
        <v>2016-11-09</v>
      </c>
      <c r="K120" s="19" t="str">
        <f>RIGHT(Table2[[#This Row],[Date]],2)</f>
        <v>01</v>
      </c>
      <c r="L120" s="19" t="str">
        <f>TEXT(Table2[[#This Row],[New Date]], "ddd")</f>
        <v>Wed</v>
      </c>
      <c r="M120" s="19" t="str">
        <f t="shared" si="1"/>
        <v>Peak</v>
      </c>
    </row>
    <row r="121" spans="1:13" ht="15.75" customHeight="1">
      <c r="A121" s="18" t="s">
        <v>152</v>
      </c>
      <c r="B121" s="19">
        <v>44</v>
      </c>
      <c r="C121" s="19">
        <v>19</v>
      </c>
      <c r="D121" s="19">
        <v>3</v>
      </c>
      <c r="E121" s="19">
        <v>16</v>
      </c>
      <c r="F121" s="19">
        <v>8</v>
      </c>
      <c r="G121" s="18">
        <v>0.4</v>
      </c>
      <c r="H121" s="18">
        <v>0.47</v>
      </c>
      <c r="I121" s="19">
        <v>9</v>
      </c>
      <c r="J121" s="31" t="str">
        <f>LEFT(Table2[[#This Row],[Date]],10)</f>
        <v>2016-11-09</v>
      </c>
      <c r="K121" s="19" t="str">
        <f>RIGHT(Table2[[#This Row],[Date]],2)</f>
        <v>00</v>
      </c>
      <c r="L121" s="19" t="str">
        <f>TEXT(Table2[[#This Row],[New Date]], "ddd")</f>
        <v>Wed</v>
      </c>
      <c r="M121" s="19" t="str">
        <f t="shared" si="1"/>
        <v>Peak</v>
      </c>
    </row>
    <row r="122" spans="1:13" ht="15.75" customHeight="1">
      <c r="A122" s="18" t="s">
        <v>153</v>
      </c>
      <c r="B122" s="19">
        <v>49</v>
      </c>
      <c r="C122" s="19">
        <v>21</v>
      </c>
      <c r="D122" s="19">
        <v>7</v>
      </c>
      <c r="E122" s="19">
        <v>14</v>
      </c>
      <c r="F122" s="19">
        <v>13</v>
      </c>
      <c r="G122" s="18">
        <v>0.4</v>
      </c>
      <c r="H122" s="18">
        <v>1</v>
      </c>
      <c r="I122" s="19">
        <v>21</v>
      </c>
      <c r="J122" s="31" t="str">
        <f>LEFT(Table2[[#This Row],[Date]],10)</f>
        <v>2016-11-08</v>
      </c>
      <c r="K122" s="19" t="str">
        <f>RIGHT(Table2[[#This Row],[Date]],2)</f>
        <v>23</v>
      </c>
      <c r="L122" s="19" t="str">
        <f>TEXT(Table2[[#This Row],[New Date]], "ddd")</f>
        <v>Tue</v>
      </c>
      <c r="M122" s="19" t="str">
        <f t="shared" si="1"/>
        <v>Moderate</v>
      </c>
    </row>
    <row r="123" spans="1:13" ht="15.75" customHeight="1">
      <c r="A123" s="18" t="s">
        <v>154</v>
      </c>
      <c r="B123" s="19">
        <v>61</v>
      </c>
      <c r="C123" s="19">
        <v>26</v>
      </c>
      <c r="D123" s="19">
        <v>4</v>
      </c>
      <c r="E123" s="19">
        <v>22</v>
      </c>
      <c r="F123" s="19">
        <v>14</v>
      </c>
      <c r="G123" s="18">
        <v>0.4</v>
      </c>
      <c r="H123" s="18">
        <v>0.46</v>
      </c>
      <c r="I123" s="19">
        <v>12</v>
      </c>
      <c r="J123" s="31" t="str">
        <f>LEFT(Table2[[#This Row],[Date]],10)</f>
        <v>2016-11-08</v>
      </c>
      <c r="K123" s="19" t="str">
        <f>RIGHT(Table2[[#This Row],[Date]],2)</f>
        <v>22</v>
      </c>
      <c r="L123" s="19" t="str">
        <f>TEXT(Table2[[#This Row],[New Date]], "ddd")</f>
        <v>Tue</v>
      </c>
      <c r="M123" s="19" t="str">
        <f t="shared" si="1"/>
        <v>Moderate</v>
      </c>
    </row>
    <row r="124" spans="1:13" ht="15.75" customHeight="1">
      <c r="A124" s="18" t="s">
        <v>155</v>
      </c>
      <c r="B124" s="19">
        <v>75</v>
      </c>
      <c r="C124" s="19">
        <v>26</v>
      </c>
      <c r="D124" s="19">
        <v>5</v>
      </c>
      <c r="E124" s="19">
        <v>21</v>
      </c>
      <c r="F124" s="19">
        <v>19</v>
      </c>
      <c r="G124" s="18">
        <v>0.3</v>
      </c>
      <c r="H124" s="18">
        <v>0.65</v>
      </c>
      <c r="I124" s="19">
        <v>17</v>
      </c>
      <c r="J124" s="31" t="str">
        <f>LEFT(Table2[[#This Row],[Date]],10)</f>
        <v>2016-11-08</v>
      </c>
      <c r="K124" s="19" t="str">
        <f>RIGHT(Table2[[#This Row],[Date]],2)</f>
        <v>21</v>
      </c>
      <c r="L124" s="19" t="str">
        <f>TEXT(Table2[[#This Row],[New Date]], "ddd")</f>
        <v>Tue</v>
      </c>
      <c r="M124" s="19" t="str">
        <f t="shared" si="1"/>
        <v>Moderate</v>
      </c>
    </row>
    <row r="125" spans="1:13" ht="15.75" customHeight="1">
      <c r="A125" s="18" t="s">
        <v>156</v>
      </c>
      <c r="B125" s="19">
        <v>85</v>
      </c>
      <c r="C125" s="19">
        <v>29</v>
      </c>
      <c r="D125" s="19">
        <v>11</v>
      </c>
      <c r="E125" s="19">
        <v>19</v>
      </c>
      <c r="F125" s="19">
        <v>25</v>
      </c>
      <c r="G125" s="18">
        <v>0.3</v>
      </c>
      <c r="H125" s="18">
        <v>0.76</v>
      </c>
      <c r="I125" s="19">
        <v>22</v>
      </c>
      <c r="J125" s="31" t="str">
        <f>LEFT(Table2[[#This Row],[Date]],10)</f>
        <v>2016-11-08</v>
      </c>
      <c r="K125" s="19" t="str">
        <f>RIGHT(Table2[[#This Row],[Date]],2)</f>
        <v>20</v>
      </c>
      <c r="L125" s="19" t="str">
        <f>TEXT(Table2[[#This Row],[New Date]], "ddd")</f>
        <v>Tue</v>
      </c>
      <c r="M125" s="19" t="str">
        <f t="shared" si="1"/>
        <v>Off-Peak</v>
      </c>
    </row>
    <row r="126" spans="1:13" ht="15.75" customHeight="1">
      <c r="A126" s="18" t="s">
        <v>157</v>
      </c>
      <c r="B126" s="19">
        <v>83</v>
      </c>
      <c r="C126" s="19">
        <v>31</v>
      </c>
      <c r="D126" s="19">
        <v>12</v>
      </c>
      <c r="E126" s="19">
        <v>19</v>
      </c>
      <c r="F126" s="19">
        <v>22</v>
      </c>
      <c r="G126" s="18">
        <v>0.4</v>
      </c>
      <c r="H126" s="18">
        <v>0.87</v>
      </c>
      <c r="I126" s="19">
        <v>27</v>
      </c>
      <c r="J126" s="31" t="str">
        <f>LEFT(Table2[[#This Row],[Date]],10)</f>
        <v>2016-11-08</v>
      </c>
      <c r="K126" s="19" t="str">
        <f>RIGHT(Table2[[#This Row],[Date]],2)</f>
        <v>19</v>
      </c>
      <c r="L126" s="19" t="str">
        <f>TEXT(Table2[[#This Row],[New Date]], "ddd")</f>
        <v>Tue</v>
      </c>
      <c r="M126" s="19" t="str">
        <f t="shared" si="1"/>
        <v>Off-Peak</v>
      </c>
    </row>
    <row r="127" spans="1:13" ht="15.75" customHeight="1">
      <c r="A127" s="18" t="s">
        <v>158</v>
      </c>
      <c r="B127" s="19">
        <v>73</v>
      </c>
      <c r="C127" s="19">
        <v>22</v>
      </c>
      <c r="D127" s="19">
        <v>14</v>
      </c>
      <c r="E127" s="19">
        <v>9</v>
      </c>
      <c r="F127" s="19">
        <v>20</v>
      </c>
      <c r="G127" s="18">
        <v>0.3</v>
      </c>
      <c r="H127" s="18">
        <v>0.82</v>
      </c>
      <c r="I127" s="19">
        <v>18</v>
      </c>
      <c r="J127" s="31" t="str">
        <f>LEFT(Table2[[#This Row],[Date]],10)</f>
        <v>2016-11-08</v>
      </c>
      <c r="K127" s="19" t="str">
        <f>RIGHT(Table2[[#This Row],[Date]],2)</f>
        <v>18</v>
      </c>
      <c r="L127" s="19" t="str">
        <f>TEXT(Table2[[#This Row],[New Date]], "ddd")</f>
        <v>Tue</v>
      </c>
      <c r="M127" s="19" t="str">
        <f t="shared" si="1"/>
        <v>Off-Peak</v>
      </c>
    </row>
    <row r="128" spans="1:13" ht="15.75" customHeight="1">
      <c r="A128" s="18" t="s">
        <v>159</v>
      </c>
      <c r="B128" s="19">
        <v>78</v>
      </c>
      <c r="C128" s="19">
        <v>26</v>
      </c>
      <c r="D128" s="19">
        <v>10</v>
      </c>
      <c r="E128" s="19">
        <v>16</v>
      </c>
      <c r="F128" s="19">
        <v>21</v>
      </c>
      <c r="G128" s="18">
        <v>0.3</v>
      </c>
      <c r="H128" s="18">
        <v>0.92</v>
      </c>
      <c r="I128" s="19">
        <v>24</v>
      </c>
      <c r="J128" s="31" t="str">
        <f>LEFT(Table2[[#This Row],[Date]],10)</f>
        <v>2016-11-08</v>
      </c>
      <c r="K128" s="19" t="str">
        <f>RIGHT(Table2[[#This Row],[Date]],2)</f>
        <v>17</v>
      </c>
      <c r="L128" s="19" t="str">
        <f>TEXT(Table2[[#This Row],[New Date]], "ddd")</f>
        <v>Tue</v>
      </c>
      <c r="M128" s="19" t="str">
        <f t="shared" si="1"/>
        <v>Off-Peak</v>
      </c>
    </row>
    <row r="129" spans="1:13" ht="15.75" customHeight="1">
      <c r="A129" s="18" t="s">
        <v>160</v>
      </c>
      <c r="B129" s="19">
        <v>83</v>
      </c>
      <c r="C129" s="19">
        <v>32</v>
      </c>
      <c r="D129" s="19">
        <v>3</v>
      </c>
      <c r="E129" s="19">
        <v>29</v>
      </c>
      <c r="F129" s="19">
        <v>21</v>
      </c>
      <c r="G129" s="18">
        <v>0.4</v>
      </c>
      <c r="H129" s="18">
        <v>0.22</v>
      </c>
      <c r="I129" s="19">
        <v>7</v>
      </c>
      <c r="J129" s="31" t="str">
        <f>LEFT(Table2[[#This Row],[Date]],10)</f>
        <v>2016-11-08</v>
      </c>
      <c r="K129" s="19" t="str">
        <f>RIGHT(Table2[[#This Row],[Date]],2)</f>
        <v>16</v>
      </c>
      <c r="L129" s="19" t="str">
        <f>TEXT(Table2[[#This Row],[New Date]], "ddd")</f>
        <v>Tue</v>
      </c>
      <c r="M129" s="19" t="str">
        <f t="shared" si="1"/>
        <v>Off-Peak</v>
      </c>
    </row>
    <row r="130" spans="1:13" ht="15.75" customHeight="1">
      <c r="A130" s="18" t="s">
        <v>161</v>
      </c>
      <c r="B130" s="19">
        <v>78</v>
      </c>
      <c r="C130" s="19">
        <v>33</v>
      </c>
      <c r="D130" s="19">
        <v>1</v>
      </c>
      <c r="E130" s="19">
        <v>32</v>
      </c>
      <c r="F130" s="19">
        <v>19</v>
      </c>
      <c r="G130" s="18">
        <v>0.4</v>
      </c>
      <c r="H130" s="18">
        <v>0.06</v>
      </c>
      <c r="I130" s="19">
        <v>2</v>
      </c>
      <c r="J130" s="31" t="str">
        <f>LEFT(Table2[[#This Row],[Date]],10)</f>
        <v>2016-11-08</v>
      </c>
      <c r="K130" s="19" t="str">
        <f>RIGHT(Table2[[#This Row],[Date]],2)</f>
        <v>15</v>
      </c>
      <c r="L130" s="19" t="str">
        <f>TEXT(Table2[[#This Row],[New Date]], "ddd")</f>
        <v>Tue</v>
      </c>
      <c r="M130" s="19" t="str">
        <f t="shared" si="1"/>
        <v>Moderate</v>
      </c>
    </row>
    <row r="131" spans="1:13" ht="15.75" customHeight="1">
      <c r="A131" s="18" t="s">
        <v>162</v>
      </c>
      <c r="B131" s="19">
        <v>72</v>
      </c>
      <c r="C131" s="19">
        <v>26</v>
      </c>
      <c r="D131" s="19">
        <v>3</v>
      </c>
      <c r="E131" s="19">
        <v>22</v>
      </c>
      <c r="F131" s="19">
        <v>14</v>
      </c>
      <c r="G131" s="18">
        <v>0.4</v>
      </c>
      <c r="H131" s="18">
        <v>0.15</v>
      </c>
      <c r="I131" s="19">
        <v>4</v>
      </c>
      <c r="J131" s="31" t="str">
        <f>LEFT(Table2[[#This Row],[Date]],10)</f>
        <v>2016-11-08</v>
      </c>
      <c r="K131" s="19" t="str">
        <f>RIGHT(Table2[[#This Row],[Date]],2)</f>
        <v>14</v>
      </c>
      <c r="L131" s="19" t="str">
        <f>TEXT(Table2[[#This Row],[New Date]], "ddd")</f>
        <v>Tue</v>
      </c>
      <c r="M131" s="19" t="str">
        <f t="shared" ref="M131:M169" si="2">IF(OR(VALUE(F131)&lt;=5, VALUE(F131)&gt;=20), "Off-Peak", IF(OR(VALUE(F131)=7, VALUE(F131)=8, VALUE(F131)=9, VALUE(F131)=16, VALUE(F131)=17, VALUE(F131)=18), "Peak", "Moderate"))</f>
        <v>Moderate</v>
      </c>
    </row>
    <row r="132" spans="1:13" ht="15.75" customHeight="1">
      <c r="A132" s="18" t="s">
        <v>163</v>
      </c>
      <c r="B132" s="19">
        <v>70</v>
      </c>
      <c r="C132" s="19">
        <v>27</v>
      </c>
      <c r="D132" s="19">
        <v>5</v>
      </c>
      <c r="E132" s="19">
        <v>22</v>
      </c>
      <c r="F132" s="19">
        <v>13</v>
      </c>
      <c r="G132" s="18">
        <v>0.4</v>
      </c>
      <c r="H132" s="18">
        <v>0.37</v>
      </c>
      <c r="I132" s="19">
        <v>10</v>
      </c>
      <c r="J132" s="31" t="str">
        <f>LEFT(Table2[[#This Row],[Date]],10)</f>
        <v>2016-11-08</v>
      </c>
      <c r="K132" s="19" t="str">
        <f>RIGHT(Table2[[#This Row],[Date]],2)</f>
        <v>13</v>
      </c>
      <c r="L132" s="19" t="str">
        <f>TEXT(Table2[[#This Row],[New Date]], "ddd")</f>
        <v>Tue</v>
      </c>
      <c r="M132" s="19" t="str">
        <f t="shared" si="2"/>
        <v>Moderate</v>
      </c>
    </row>
    <row r="133" spans="1:13" ht="15.75" customHeight="1">
      <c r="A133" s="18" t="s">
        <v>164</v>
      </c>
      <c r="B133" s="19">
        <v>77</v>
      </c>
      <c r="C133" s="19">
        <v>32</v>
      </c>
      <c r="D133" s="19">
        <v>3</v>
      </c>
      <c r="E133" s="19">
        <v>30</v>
      </c>
      <c r="F133" s="19">
        <v>17</v>
      </c>
      <c r="G133" s="18">
        <v>0.4</v>
      </c>
      <c r="H133" s="18">
        <v>0.19</v>
      </c>
      <c r="I133" s="19">
        <v>6</v>
      </c>
      <c r="J133" s="31" t="str">
        <f>LEFT(Table2[[#This Row],[Date]],10)</f>
        <v>2016-11-08</v>
      </c>
      <c r="K133" s="19" t="str">
        <f>RIGHT(Table2[[#This Row],[Date]],2)</f>
        <v>12</v>
      </c>
      <c r="L133" s="19" t="str">
        <f>TEXT(Table2[[#This Row],[New Date]], "ddd")</f>
        <v>Tue</v>
      </c>
      <c r="M133" s="19" t="str">
        <f t="shared" si="2"/>
        <v>Peak</v>
      </c>
    </row>
    <row r="134" spans="1:13" ht="15.75" customHeight="1">
      <c r="A134" s="18" t="s">
        <v>165</v>
      </c>
      <c r="B134" s="19">
        <v>82</v>
      </c>
      <c r="C134" s="19">
        <v>35</v>
      </c>
      <c r="D134" s="19">
        <v>4</v>
      </c>
      <c r="E134" s="19">
        <v>30</v>
      </c>
      <c r="F134" s="19">
        <v>15</v>
      </c>
      <c r="G134" s="18">
        <v>0.4</v>
      </c>
      <c r="H134" s="18">
        <v>0.23</v>
      </c>
      <c r="I134" s="19">
        <v>8</v>
      </c>
      <c r="J134" s="31" t="str">
        <f>LEFT(Table2[[#This Row],[Date]],10)</f>
        <v>2016-11-08</v>
      </c>
      <c r="K134" s="19" t="str">
        <f>RIGHT(Table2[[#This Row],[Date]],2)</f>
        <v>11</v>
      </c>
      <c r="L134" s="19" t="str">
        <f>TEXT(Table2[[#This Row],[New Date]], "ddd")</f>
        <v>Tue</v>
      </c>
      <c r="M134" s="19" t="str">
        <f t="shared" si="2"/>
        <v>Moderate</v>
      </c>
    </row>
    <row r="135" spans="1:13" ht="15.75" customHeight="1">
      <c r="A135" s="18" t="s">
        <v>166</v>
      </c>
      <c r="B135" s="19">
        <v>84</v>
      </c>
      <c r="C135" s="19">
        <v>42</v>
      </c>
      <c r="D135" s="19">
        <v>7</v>
      </c>
      <c r="E135" s="19">
        <v>35</v>
      </c>
      <c r="F135" s="19">
        <v>18</v>
      </c>
      <c r="G135" s="18">
        <v>0.5</v>
      </c>
      <c r="H135" s="18">
        <v>0.26</v>
      </c>
      <c r="I135" s="19">
        <v>11</v>
      </c>
      <c r="J135" s="31" t="str">
        <f>LEFT(Table2[[#This Row],[Date]],10)</f>
        <v>2016-11-08</v>
      </c>
      <c r="K135" s="19" t="str">
        <f>RIGHT(Table2[[#This Row],[Date]],2)</f>
        <v>10</v>
      </c>
      <c r="L135" s="19" t="str">
        <f>TEXT(Table2[[#This Row],[New Date]], "ddd")</f>
        <v>Tue</v>
      </c>
      <c r="M135" s="19" t="str">
        <f t="shared" si="2"/>
        <v>Peak</v>
      </c>
    </row>
    <row r="136" spans="1:13" ht="15.75" customHeight="1">
      <c r="A136" s="18" t="s">
        <v>167</v>
      </c>
      <c r="B136" s="19">
        <v>78</v>
      </c>
      <c r="C136" s="19">
        <v>35</v>
      </c>
      <c r="D136" s="19">
        <v>13</v>
      </c>
      <c r="E136" s="19">
        <v>21</v>
      </c>
      <c r="F136" s="19">
        <v>17</v>
      </c>
      <c r="G136" s="18">
        <v>0.4</v>
      </c>
      <c r="H136" s="18">
        <v>0.71</v>
      </c>
      <c r="I136" s="19">
        <v>25</v>
      </c>
      <c r="J136" s="31" t="str">
        <f>LEFT(Table2[[#This Row],[Date]],10)</f>
        <v>2016-11-08</v>
      </c>
      <c r="K136" s="19" t="str">
        <f>RIGHT(Table2[[#This Row],[Date]],2)</f>
        <v>09</v>
      </c>
      <c r="L136" s="19" t="str">
        <f>TEXT(Table2[[#This Row],[New Date]], "ddd")</f>
        <v>Tue</v>
      </c>
      <c r="M136" s="19" t="str">
        <f t="shared" si="2"/>
        <v>Peak</v>
      </c>
    </row>
    <row r="137" spans="1:13" ht="15.75" customHeight="1">
      <c r="A137" s="18" t="s">
        <v>168</v>
      </c>
      <c r="B137" s="19">
        <v>61</v>
      </c>
      <c r="C137" s="19">
        <v>23</v>
      </c>
      <c r="D137" s="19">
        <v>10</v>
      </c>
      <c r="E137" s="19">
        <v>14</v>
      </c>
      <c r="F137" s="19">
        <v>18</v>
      </c>
      <c r="G137" s="18">
        <v>0.4</v>
      </c>
      <c r="H137" s="18">
        <v>0.74</v>
      </c>
      <c r="I137" s="19">
        <v>17</v>
      </c>
      <c r="J137" s="31" t="str">
        <f>LEFT(Table2[[#This Row],[Date]],10)</f>
        <v>2016-11-08</v>
      </c>
      <c r="K137" s="19" t="str">
        <f>RIGHT(Table2[[#This Row],[Date]],2)</f>
        <v>08</v>
      </c>
      <c r="L137" s="19" t="str">
        <f>TEXT(Table2[[#This Row],[New Date]], "ddd")</f>
        <v>Tue</v>
      </c>
      <c r="M137" s="19" t="str">
        <f t="shared" si="2"/>
        <v>Peak</v>
      </c>
    </row>
    <row r="138" spans="1:13" ht="15.75" customHeight="1">
      <c r="A138" s="18" t="s">
        <v>169</v>
      </c>
      <c r="B138" s="19">
        <v>55</v>
      </c>
      <c r="C138" s="19">
        <v>23</v>
      </c>
      <c r="D138" s="19">
        <v>7</v>
      </c>
      <c r="E138" s="19">
        <v>16</v>
      </c>
      <c r="F138" s="19">
        <v>12</v>
      </c>
      <c r="G138" s="18">
        <v>0.4</v>
      </c>
      <c r="H138" s="18">
        <v>0.74</v>
      </c>
      <c r="I138" s="19">
        <v>17</v>
      </c>
      <c r="J138" s="31" t="str">
        <f>LEFT(Table2[[#This Row],[Date]],10)</f>
        <v>2016-11-08</v>
      </c>
      <c r="K138" s="19" t="str">
        <f>RIGHT(Table2[[#This Row],[Date]],2)</f>
        <v>07</v>
      </c>
      <c r="L138" s="19" t="str">
        <f>TEXT(Table2[[#This Row],[New Date]], "ddd")</f>
        <v>Tue</v>
      </c>
      <c r="M138" s="19" t="str">
        <f t="shared" si="2"/>
        <v>Moderate</v>
      </c>
    </row>
    <row r="139" spans="1:13" ht="15.75" customHeight="1">
      <c r="A139" s="18" t="s">
        <v>170</v>
      </c>
      <c r="B139" s="19">
        <v>39</v>
      </c>
      <c r="C139" s="19">
        <v>20</v>
      </c>
      <c r="D139" s="19">
        <v>0</v>
      </c>
      <c r="E139" s="19">
        <v>19</v>
      </c>
      <c r="F139" s="19">
        <v>8</v>
      </c>
      <c r="G139" s="18">
        <v>0.5</v>
      </c>
      <c r="H139" s="18">
        <v>0.1</v>
      </c>
      <c r="I139" s="19">
        <v>2</v>
      </c>
      <c r="J139" s="31" t="str">
        <f>LEFT(Table2[[#This Row],[Date]],10)</f>
        <v>2016-11-08</v>
      </c>
      <c r="K139" s="19" t="str">
        <f>RIGHT(Table2[[#This Row],[Date]],2)</f>
        <v>06</v>
      </c>
      <c r="L139" s="19" t="str">
        <f>TEXT(Table2[[#This Row],[New Date]], "ddd")</f>
        <v>Tue</v>
      </c>
      <c r="M139" s="19" t="str">
        <f t="shared" si="2"/>
        <v>Peak</v>
      </c>
    </row>
    <row r="140" spans="1:13" ht="15.75" customHeight="1">
      <c r="A140" s="18" t="s">
        <v>171</v>
      </c>
      <c r="B140" s="19">
        <v>34</v>
      </c>
      <c r="C140" s="19">
        <v>17</v>
      </c>
      <c r="D140" s="19">
        <v>0</v>
      </c>
      <c r="E140" s="19">
        <v>17</v>
      </c>
      <c r="F140" s="19">
        <v>8</v>
      </c>
      <c r="G140" s="18">
        <v>0.5</v>
      </c>
      <c r="H140" s="19">
        <v>0</v>
      </c>
      <c r="I140" s="18">
        <v>0</v>
      </c>
      <c r="J140" s="31" t="str">
        <f>LEFT(Table2[[#This Row],[Date]],10)</f>
        <v>2016-11-08</v>
      </c>
      <c r="K140" s="19" t="str">
        <f>RIGHT(Table2[[#This Row],[Date]],2)</f>
        <v>05</v>
      </c>
      <c r="L140" s="19" t="str">
        <f>TEXT(Table2[[#This Row],[New Date]], "ddd")</f>
        <v>Tue</v>
      </c>
      <c r="M140" s="19" t="str">
        <f t="shared" si="2"/>
        <v>Peak</v>
      </c>
    </row>
    <row r="141" spans="1:13" ht="15.75" customHeight="1">
      <c r="A141" s="18" t="s">
        <v>172</v>
      </c>
      <c r="B141" s="19">
        <v>27</v>
      </c>
      <c r="C141" s="19">
        <v>16</v>
      </c>
      <c r="D141" s="19">
        <v>0</v>
      </c>
      <c r="E141" s="19">
        <v>16</v>
      </c>
      <c r="F141" s="19">
        <v>8</v>
      </c>
      <c r="G141" s="18">
        <v>0.6</v>
      </c>
      <c r="H141" s="19">
        <v>0</v>
      </c>
      <c r="I141" s="18">
        <v>0</v>
      </c>
      <c r="J141" s="31" t="str">
        <f>LEFT(Table2[[#This Row],[Date]],10)</f>
        <v>2016-11-08</v>
      </c>
      <c r="K141" s="19" t="str">
        <f>RIGHT(Table2[[#This Row],[Date]],2)</f>
        <v>04</v>
      </c>
      <c r="L141" s="19" t="str">
        <f>TEXT(Table2[[#This Row],[New Date]], "ddd")</f>
        <v>Tue</v>
      </c>
      <c r="M141" s="19" t="str">
        <f t="shared" si="2"/>
        <v>Peak</v>
      </c>
    </row>
    <row r="142" spans="1:13" ht="15.75" customHeight="1">
      <c r="A142" s="18" t="s">
        <v>173</v>
      </c>
      <c r="B142" s="19">
        <v>26</v>
      </c>
      <c r="C142" s="19">
        <v>14</v>
      </c>
      <c r="D142" s="19">
        <v>0</v>
      </c>
      <c r="E142" s="19">
        <v>14</v>
      </c>
      <c r="F142" s="19">
        <v>8</v>
      </c>
      <c r="G142" s="18">
        <v>0.5</v>
      </c>
      <c r="H142" s="18">
        <v>7.0000000000000007E-2</v>
      </c>
      <c r="I142" s="19">
        <v>1</v>
      </c>
      <c r="J142" s="31" t="str">
        <f>LEFT(Table2[[#This Row],[Date]],10)</f>
        <v>2016-11-08</v>
      </c>
      <c r="K142" s="19" t="str">
        <f>RIGHT(Table2[[#This Row],[Date]],2)</f>
        <v>03</v>
      </c>
      <c r="L142" s="19" t="str">
        <f>TEXT(Table2[[#This Row],[New Date]], "ddd")</f>
        <v>Tue</v>
      </c>
      <c r="M142" s="19" t="str">
        <f t="shared" si="2"/>
        <v>Peak</v>
      </c>
    </row>
    <row r="143" spans="1:13" ht="15.75" customHeight="1">
      <c r="A143" s="18" t="s">
        <v>174</v>
      </c>
      <c r="B143" s="19">
        <v>29</v>
      </c>
      <c r="C143" s="19">
        <v>16</v>
      </c>
      <c r="D143" s="19">
        <v>0</v>
      </c>
      <c r="E143" s="19">
        <v>16</v>
      </c>
      <c r="F143" s="19">
        <v>9</v>
      </c>
      <c r="G143" s="18">
        <v>0.6</v>
      </c>
      <c r="H143" s="19">
        <v>0</v>
      </c>
      <c r="I143" s="18">
        <v>0</v>
      </c>
      <c r="J143" s="31" t="str">
        <f>LEFT(Table2[[#This Row],[Date]],10)</f>
        <v>2016-11-08</v>
      </c>
      <c r="K143" s="19" t="str">
        <f>RIGHT(Table2[[#This Row],[Date]],2)</f>
        <v>02</v>
      </c>
      <c r="L143" s="19" t="str">
        <f>TEXT(Table2[[#This Row],[New Date]], "ddd")</f>
        <v>Tue</v>
      </c>
      <c r="M143" s="19" t="str">
        <f t="shared" si="2"/>
        <v>Peak</v>
      </c>
    </row>
    <row r="144" spans="1:13" ht="15.75" customHeight="1">
      <c r="A144" s="18" t="s">
        <v>175</v>
      </c>
      <c r="B144" s="19">
        <v>33</v>
      </c>
      <c r="C144" s="19">
        <v>16</v>
      </c>
      <c r="D144" s="19">
        <v>1</v>
      </c>
      <c r="E144" s="19">
        <v>15</v>
      </c>
      <c r="F144" s="19">
        <v>10</v>
      </c>
      <c r="G144" s="18">
        <v>0.5</v>
      </c>
      <c r="H144" s="18">
        <v>0.13</v>
      </c>
      <c r="I144" s="19">
        <v>2</v>
      </c>
      <c r="J144" s="31" t="str">
        <f>LEFT(Table2[[#This Row],[Date]],10)</f>
        <v>2016-11-08</v>
      </c>
      <c r="K144" s="19" t="str">
        <f>RIGHT(Table2[[#This Row],[Date]],2)</f>
        <v>01</v>
      </c>
      <c r="L144" s="19" t="str">
        <f>TEXT(Table2[[#This Row],[New Date]], "ddd")</f>
        <v>Tue</v>
      </c>
      <c r="M144" s="19" t="str">
        <f t="shared" si="2"/>
        <v>Moderate</v>
      </c>
    </row>
    <row r="145" spans="1:13" ht="15.75" customHeight="1">
      <c r="A145" s="18" t="s">
        <v>176</v>
      </c>
      <c r="B145" s="19">
        <v>45</v>
      </c>
      <c r="C145" s="19">
        <v>17</v>
      </c>
      <c r="D145" s="19">
        <v>2</v>
      </c>
      <c r="E145" s="19">
        <v>15</v>
      </c>
      <c r="F145" s="19">
        <v>13</v>
      </c>
      <c r="G145" s="18">
        <v>0.4</v>
      </c>
      <c r="H145" s="18">
        <v>0.35</v>
      </c>
      <c r="I145" s="19">
        <v>6</v>
      </c>
      <c r="J145" s="31" t="str">
        <f>LEFT(Table2[[#This Row],[Date]],10)</f>
        <v>2016-11-08</v>
      </c>
      <c r="K145" s="19" t="str">
        <f>RIGHT(Table2[[#This Row],[Date]],2)</f>
        <v>00</v>
      </c>
      <c r="L145" s="19" t="str">
        <f>TEXT(Table2[[#This Row],[New Date]], "ddd")</f>
        <v>Tue</v>
      </c>
      <c r="M145" s="19" t="str">
        <f t="shared" si="2"/>
        <v>Moderate</v>
      </c>
    </row>
    <row r="146" spans="1:13" ht="15.75" customHeight="1">
      <c r="A146" s="18" t="s">
        <v>177</v>
      </c>
      <c r="B146" s="19">
        <v>57</v>
      </c>
      <c r="C146" s="19">
        <v>22</v>
      </c>
      <c r="D146" s="19">
        <v>3</v>
      </c>
      <c r="E146" s="19">
        <v>19</v>
      </c>
      <c r="F146" s="19">
        <v>17</v>
      </c>
      <c r="G146" s="18">
        <v>0.4</v>
      </c>
      <c r="H146" s="18">
        <v>0.41</v>
      </c>
      <c r="I146" s="19">
        <v>9</v>
      </c>
      <c r="J146" s="31" t="str">
        <f>LEFT(Table2[[#This Row],[Date]],10)</f>
        <v>2016-11-07</v>
      </c>
      <c r="K146" s="19" t="str">
        <f>RIGHT(Table2[[#This Row],[Date]],2)</f>
        <v>23</v>
      </c>
      <c r="L146" s="19" t="str">
        <f>TEXT(Table2[[#This Row],[New Date]], "ddd")</f>
        <v>Mon</v>
      </c>
      <c r="M146" s="19" t="str">
        <f t="shared" si="2"/>
        <v>Peak</v>
      </c>
    </row>
    <row r="147" spans="1:13" ht="15.75" customHeight="1">
      <c r="A147" s="18" t="s">
        <v>178</v>
      </c>
      <c r="B147" s="19">
        <v>66</v>
      </c>
      <c r="C147" s="19">
        <v>24</v>
      </c>
      <c r="D147" s="19">
        <v>3</v>
      </c>
      <c r="E147" s="19">
        <v>21</v>
      </c>
      <c r="F147" s="19">
        <v>20</v>
      </c>
      <c r="G147" s="18">
        <v>0.4</v>
      </c>
      <c r="H147" s="18">
        <v>0.33</v>
      </c>
      <c r="I147" s="19">
        <v>8</v>
      </c>
      <c r="J147" s="31" t="str">
        <f>LEFT(Table2[[#This Row],[Date]],10)</f>
        <v>2016-11-07</v>
      </c>
      <c r="K147" s="19" t="str">
        <f>RIGHT(Table2[[#This Row],[Date]],2)</f>
        <v>22</v>
      </c>
      <c r="L147" s="19" t="str">
        <f>TEXT(Table2[[#This Row],[New Date]], "ddd")</f>
        <v>Mon</v>
      </c>
      <c r="M147" s="19" t="str">
        <f t="shared" si="2"/>
        <v>Off-Peak</v>
      </c>
    </row>
    <row r="148" spans="1:13" ht="15.75" customHeight="1">
      <c r="A148" s="18" t="s">
        <v>179</v>
      </c>
      <c r="B148" s="19">
        <v>82</v>
      </c>
      <c r="C148" s="19">
        <v>33</v>
      </c>
      <c r="D148" s="19">
        <v>5</v>
      </c>
      <c r="E148" s="19">
        <v>28</v>
      </c>
      <c r="F148" s="19">
        <v>20</v>
      </c>
      <c r="G148" s="18">
        <v>0.4</v>
      </c>
      <c r="H148" s="18">
        <v>0.42</v>
      </c>
      <c r="I148" s="19">
        <v>14</v>
      </c>
      <c r="J148" s="31" t="str">
        <f>LEFT(Table2[[#This Row],[Date]],10)</f>
        <v>2016-11-07</v>
      </c>
      <c r="K148" s="19" t="str">
        <f>RIGHT(Table2[[#This Row],[Date]],2)</f>
        <v>21</v>
      </c>
      <c r="L148" s="19" t="str">
        <f>TEXT(Table2[[#This Row],[New Date]], "ddd")</f>
        <v>Mon</v>
      </c>
      <c r="M148" s="19" t="str">
        <f t="shared" si="2"/>
        <v>Off-Peak</v>
      </c>
    </row>
    <row r="149" spans="1:13" ht="15.75" customHeight="1">
      <c r="A149" s="18" t="s">
        <v>180</v>
      </c>
      <c r="B149" s="19">
        <v>87</v>
      </c>
      <c r="C149" s="19">
        <v>37</v>
      </c>
      <c r="D149" s="19">
        <v>2</v>
      </c>
      <c r="E149" s="19">
        <v>35</v>
      </c>
      <c r="F149" s="19">
        <v>18</v>
      </c>
      <c r="G149" s="18">
        <v>0.4</v>
      </c>
      <c r="H149" s="18">
        <v>0.14000000000000001</v>
      </c>
      <c r="I149" s="19">
        <v>5</v>
      </c>
      <c r="J149" s="31" t="str">
        <f>LEFT(Table2[[#This Row],[Date]],10)</f>
        <v>2016-11-07</v>
      </c>
      <c r="K149" s="19" t="str">
        <f>RIGHT(Table2[[#This Row],[Date]],2)</f>
        <v>20</v>
      </c>
      <c r="L149" s="19" t="str">
        <f>TEXT(Table2[[#This Row],[New Date]], "ddd")</f>
        <v>Mon</v>
      </c>
      <c r="M149" s="19" t="str">
        <f t="shared" si="2"/>
        <v>Peak</v>
      </c>
    </row>
    <row r="150" spans="1:13" ht="15.75" customHeight="1">
      <c r="A150" s="18" t="s">
        <v>181</v>
      </c>
      <c r="B150" s="19">
        <v>83</v>
      </c>
      <c r="C150" s="19">
        <v>38</v>
      </c>
      <c r="D150" s="19">
        <v>10</v>
      </c>
      <c r="E150" s="19">
        <v>28</v>
      </c>
      <c r="F150" s="19">
        <v>17</v>
      </c>
      <c r="G150" s="18">
        <v>0.5</v>
      </c>
      <c r="H150" s="18">
        <v>0.42</v>
      </c>
      <c r="I150" s="19">
        <v>16</v>
      </c>
      <c r="J150" s="31" t="str">
        <f>LEFT(Table2[[#This Row],[Date]],10)</f>
        <v>2016-11-07</v>
      </c>
      <c r="K150" s="19" t="str">
        <f>RIGHT(Table2[[#This Row],[Date]],2)</f>
        <v>19</v>
      </c>
      <c r="L150" s="19" t="str">
        <f>TEXT(Table2[[#This Row],[New Date]], "ddd")</f>
        <v>Mon</v>
      </c>
      <c r="M150" s="19" t="str">
        <f t="shared" si="2"/>
        <v>Peak</v>
      </c>
    </row>
    <row r="151" spans="1:13" ht="15.75" customHeight="1">
      <c r="A151" s="18" t="s">
        <v>182</v>
      </c>
      <c r="B151" s="19">
        <v>74</v>
      </c>
      <c r="C151" s="19">
        <v>29</v>
      </c>
      <c r="D151" s="19">
        <v>10</v>
      </c>
      <c r="E151" s="19">
        <v>19</v>
      </c>
      <c r="F151" s="19">
        <v>19</v>
      </c>
      <c r="G151" s="18">
        <v>0.4</v>
      </c>
      <c r="H151" s="18">
        <v>0.52</v>
      </c>
      <c r="I151" s="19">
        <v>15</v>
      </c>
      <c r="J151" s="31" t="str">
        <f>LEFT(Table2[[#This Row],[Date]],10)</f>
        <v>2016-11-07</v>
      </c>
      <c r="K151" s="19" t="str">
        <f>RIGHT(Table2[[#This Row],[Date]],2)</f>
        <v>18</v>
      </c>
      <c r="L151" s="19" t="str">
        <f>TEXT(Table2[[#This Row],[New Date]], "ddd")</f>
        <v>Mon</v>
      </c>
      <c r="M151" s="19" t="str">
        <f t="shared" si="2"/>
        <v>Moderate</v>
      </c>
    </row>
    <row r="152" spans="1:13" ht="15.75" customHeight="1">
      <c r="A152" s="18" t="s">
        <v>183</v>
      </c>
      <c r="B152" s="19">
        <v>77</v>
      </c>
      <c r="C152" s="19">
        <v>35</v>
      </c>
      <c r="D152" s="19">
        <v>7</v>
      </c>
      <c r="E152" s="19">
        <v>28</v>
      </c>
      <c r="F152" s="19">
        <v>14</v>
      </c>
      <c r="G152" s="18">
        <v>0.5</v>
      </c>
      <c r="H152" s="18">
        <v>0.31</v>
      </c>
      <c r="I152" s="19">
        <v>11</v>
      </c>
      <c r="J152" s="31" t="str">
        <f>LEFT(Table2[[#This Row],[Date]],10)</f>
        <v>2016-11-07</v>
      </c>
      <c r="K152" s="19" t="str">
        <f>RIGHT(Table2[[#This Row],[Date]],2)</f>
        <v>17</v>
      </c>
      <c r="L152" s="19" t="str">
        <f>TEXT(Table2[[#This Row],[New Date]], "ddd")</f>
        <v>Mon</v>
      </c>
      <c r="M152" s="19" t="str">
        <f t="shared" si="2"/>
        <v>Moderate</v>
      </c>
    </row>
    <row r="153" spans="1:13" ht="15.75" customHeight="1">
      <c r="A153" s="18" t="s">
        <v>184</v>
      </c>
      <c r="B153" s="19">
        <v>63</v>
      </c>
      <c r="C153" s="19">
        <v>27</v>
      </c>
      <c r="D153" s="19">
        <v>5</v>
      </c>
      <c r="E153" s="19">
        <v>22</v>
      </c>
      <c r="F153" s="19">
        <v>15</v>
      </c>
      <c r="G153" s="18">
        <v>0.4</v>
      </c>
      <c r="H153" s="18">
        <v>0.37</v>
      </c>
      <c r="I153" s="19">
        <v>10</v>
      </c>
      <c r="J153" s="31" t="str">
        <f>LEFT(Table2[[#This Row],[Date]],10)</f>
        <v>2016-11-07</v>
      </c>
      <c r="K153" s="19" t="str">
        <f>RIGHT(Table2[[#This Row],[Date]],2)</f>
        <v>16</v>
      </c>
      <c r="L153" s="19" t="str">
        <f>TEXT(Table2[[#This Row],[New Date]], "ddd")</f>
        <v>Mon</v>
      </c>
      <c r="M153" s="19" t="str">
        <f t="shared" si="2"/>
        <v>Moderate</v>
      </c>
    </row>
    <row r="154" spans="1:13" ht="15.75" customHeight="1">
      <c r="A154" s="18" t="s">
        <v>185</v>
      </c>
      <c r="B154" s="19">
        <v>62</v>
      </c>
      <c r="C154" s="19">
        <v>24</v>
      </c>
      <c r="D154" s="19">
        <v>5</v>
      </c>
      <c r="E154" s="19">
        <v>20</v>
      </c>
      <c r="F154" s="19">
        <v>16</v>
      </c>
      <c r="G154" s="18">
        <v>0.4</v>
      </c>
      <c r="H154" s="18">
        <v>0.46</v>
      </c>
      <c r="I154" s="19">
        <v>11</v>
      </c>
      <c r="J154" s="31" t="str">
        <f>LEFT(Table2[[#This Row],[Date]],10)</f>
        <v>2016-11-07</v>
      </c>
      <c r="K154" s="19" t="str">
        <f>RIGHT(Table2[[#This Row],[Date]],2)</f>
        <v>15</v>
      </c>
      <c r="L154" s="19" t="str">
        <f>TEXT(Table2[[#This Row],[New Date]], "ddd")</f>
        <v>Mon</v>
      </c>
      <c r="M154" s="19" t="str">
        <f t="shared" si="2"/>
        <v>Peak</v>
      </c>
    </row>
    <row r="155" spans="1:13" ht="15.75" customHeight="1">
      <c r="A155" s="18" t="s">
        <v>186</v>
      </c>
      <c r="B155" s="19">
        <v>56</v>
      </c>
      <c r="C155" s="19">
        <v>22</v>
      </c>
      <c r="D155" s="19">
        <v>2</v>
      </c>
      <c r="E155" s="19">
        <v>21</v>
      </c>
      <c r="F155" s="19">
        <v>16</v>
      </c>
      <c r="G155" s="18">
        <v>0.4</v>
      </c>
      <c r="H155" s="18">
        <v>0.14000000000000001</v>
      </c>
      <c r="I155" s="19">
        <v>3</v>
      </c>
      <c r="J155" s="31" t="str">
        <f>LEFT(Table2[[#This Row],[Date]],10)</f>
        <v>2016-11-07</v>
      </c>
      <c r="K155" s="19" t="str">
        <f>RIGHT(Table2[[#This Row],[Date]],2)</f>
        <v>14</v>
      </c>
      <c r="L155" s="19" t="str">
        <f>TEXT(Table2[[#This Row],[New Date]], "ddd")</f>
        <v>Mon</v>
      </c>
      <c r="M155" s="19" t="str">
        <f t="shared" si="2"/>
        <v>Peak</v>
      </c>
    </row>
    <row r="156" spans="1:13" ht="15.75" customHeight="1">
      <c r="A156" s="18" t="s">
        <v>187</v>
      </c>
      <c r="B156" s="19">
        <v>56</v>
      </c>
      <c r="C156" s="19">
        <v>20</v>
      </c>
      <c r="D156" s="19">
        <v>2</v>
      </c>
      <c r="E156" s="19">
        <v>18</v>
      </c>
      <c r="F156" s="19">
        <v>15</v>
      </c>
      <c r="G156" s="18">
        <v>0.4</v>
      </c>
      <c r="H156" s="18">
        <v>0.25</v>
      </c>
      <c r="I156" s="19">
        <v>5</v>
      </c>
      <c r="J156" s="31" t="str">
        <f>LEFT(Table2[[#This Row],[Date]],10)</f>
        <v>2016-11-07</v>
      </c>
      <c r="K156" s="19" t="str">
        <f>RIGHT(Table2[[#This Row],[Date]],2)</f>
        <v>13</v>
      </c>
      <c r="L156" s="19" t="str">
        <f>TEXT(Table2[[#This Row],[New Date]], "ddd")</f>
        <v>Mon</v>
      </c>
      <c r="M156" s="19" t="str">
        <f t="shared" si="2"/>
        <v>Moderate</v>
      </c>
    </row>
    <row r="157" spans="1:13" ht="15.75" customHeight="1">
      <c r="A157" s="18" t="s">
        <v>188</v>
      </c>
      <c r="B157" s="19">
        <v>62</v>
      </c>
      <c r="C157" s="19">
        <v>23</v>
      </c>
      <c r="D157" s="19">
        <v>2</v>
      </c>
      <c r="E157" s="19">
        <v>20</v>
      </c>
      <c r="F157" s="19">
        <v>17</v>
      </c>
      <c r="G157" s="18">
        <v>0.4</v>
      </c>
      <c r="H157" s="18">
        <v>0.26</v>
      </c>
      <c r="I157" s="19">
        <v>6</v>
      </c>
      <c r="J157" s="31" t="str">
        <f>LEFT(Table2[[#This Row],[Date]],10)</f>
        <v>2016-11-07</v>
      </c>
      <c r="K157" s="19" t="str">
        <f>RIGHT(Table2[[#This Row],[Date]],2)</f>
        <v>12</v>
      </c>
      <c r="L157" s="19" t="str">
        <f>TEXT(Table2[[#This Row],[New Date]], "ddd")</f>
        <v>Mon</v>
      </c>
      <c r="M157" s="19" t="str">
        <f t="shared" si="2"/>
        <v>Peak</v>
      </c>
    </row>
    <row r="158" spans="1:13" ht="15.75" customHeight="1">
      <c r="A158" s="18" t="s">
        <v>189</v>
      </c>
      <c r="B158" s="19">
        <v>53</v>
      </c>
      <c r="C158" s="19">
        <v>20</v>
      </c>
      <c r="D158" s="19">
        <v>3</v>
      </c>
      <c r="E158" s="19">
        <v>18</v>
      </c>
      <c r="F158" s="19">
        <v>17</v>
      </c>
      <c r="G158" s="18">
        <v>0.4</v>
      </c>
      <c r="H158" s="18">
        <v>0.25</v>
      </c>
      <c r="I158" s="19">
        <v>5</v>
      </c>
      <c r="J158" s="31" t="str">
        <f>LEFT(Table2[[#This Row],[Date]],10)</f>
        <v>2016-11-07</v>
      </c>
      <c r="K158" s="19" t="str">
        <f>RIGHT(Table2[[#This Row],[Date]],2)</f>
        <v>11</v>
      </c>
      <c r="L158" s="19" t="str">
        <f>TEXT(Table2[[#This Row],[New Date]], "ddd")</f>
        <v>Mon</v>
      </c>
      <c r="M158" s="19" t="str">
        <f t="shared" si="2"/>
        <v>Peak</v>
      </c>
    </row>
    <row r="159" spans="1:13" ht="15.75" customHeight="1">
      <c r="A159" s="18" t="s">
        <v>190</v>
      </c>
      <c r="B159" s="19">
        <v>59</v>
      </c>
      <c r="C159" s="19">
        <v>22</v>
      </c>
      <c r="D159" s="19">
        <v>6</v>
      </c>
      <c r="E159" s="19">
        <v>17</v>
      </c>
      <c r="F159" s="19">
        <v>14</v>
      </c>
      <c r="G159" s="18">
        <v>0.4</v>
      </c>
      <c r="H159" s="18">
        <v>0.23</v>
      </c>
      <c r="I159" s="19">
        <v>5</v>
      </c>
      <c r="J159" s="31" t="str">
        <f>LEFT(Table2[[#This Row],[Date]],10)</f>
        <v>2016-11-07</v>
      </c>
      <c r="K159" s="19" t="str">
        <f>RIGHT(Table2[[#This Row],[Date]],2)</f>
        <v>10</v>
      </c>
      <c r="L159" s="19" t="str">
        <f>TEXT(Table2[[#This Row],[New Date]], "ddd")</f>
        <v>Mon</v>
      </c>
      <c r="M159" s="19" t="str">
        <f t="shared" si="2"/>
        <v>Moderate</v>
      </c>
    </row>
    <row r="160" spans="1:13" ht="15.75" customHeight="1">
      <c r="A160" s="18" t="s">
        <v>191</v>
      </c>
      <c r="B160" s="19">
        <v>50</v>
      </c>
      <c r="C160" s="19">
        <v>18</v>
      </c>
      <c r="D160" s="19">
        <v>10</v>
      </c>
      <c r="E160" s="19">
        <v>8</v>
      </c>
      <c r="F160" s="19">
        <v>13</v>
      </c>
      <c r="G160" s="18">
        <v>0.4</v>
      </c>
      <c r="H160" s="18">
        <v>1.17</v>
      </c>
      <c r="I160" s="19">
        <v>21</v>
      </c>
      <c r="J160" s="31" t="str">
        <f>LEFT(Table2[[#This Row],[Date]],10)</f>
        <v>2016-11-07</v>
      </c>
      <c r="K160" s="19" t="str">
        <f>RIGHT(Table2[[#This Row],[Date]],2)</f>
        <v>09</v>
      </c>
      <c r="L160" s="19" t="str">
        <f>TEXT(Table2[[#This Row],[New Date]], "ddd")</f>
        <v>Mon</v>
      </c>
      <c r="M160" s="19" t="str">
        <f t="shared" si="2"/>
        <v>Moderate</v>
      </c>
    </row>
    <row r="161" spans="1:13" ht="15.75" customHeight="1">
      <c r="A161" s="18" t="s">
        <v>192</v>
      </c>
      <c r="B161" s="19">
        <v>38</v>
      </c>
      <c r="C161" s="19">
        <v>16</v>
      </c>
      <c r="D161" s="19">
        <v>8</v>
      </c>
      <c r="E161" s="19">
        <v>8</v>
      </c>
      <c r="F161" s="19">
        <v>11</v>
      </c>
      <c r="G161" s="18">
        <v>0.4</v>
      </c>
      <c r="H161" s="18">
        <v>0.69</v>
      </c>
      <c r="I161" s="19">
        <v>11</v>
      </c>
      <c r="J161" s="31" t="str">
        <f>LEFT(Table2[[#This Row],[Date]],10)</f>
        <v>2016-11-07</v>
      </c>
      <c r="K161" s="19" t="str">
        <f>RIGHT(Table2[[#This Row],[Date]],2)</f>
        <v>08</v>
      </c>
      <c r="L161" s="19" t="str">
        <f>TEXT(Table2[[#This Row],[New Date]], "ddd")</f>
        <v>Mon</v>
      </c>
      <c r="M161" s="19" t="str">
        <f t="shared" si="2"/>
        <v>Moderate</v>
      </c>
    </row>
    <row r="162" spans="1:13" ht="15.75" customHeight="1">
      <c r="A162" s="18" t="s">
        <v>193</v>
      </c>
      <c r="B162" s="19">
        <v>33</v>
      </c>
      <c r="C162" s="19">
        <v>11</v>
      </c>
      <c r="D162" s="19">
        <v>3</v>
      </c>
      <c r="E162" s="19">
        <v>8</v>
      </c>
      <c r="F162" s="19">
        <v>8</v>
      </c>
      <c r="G162" s="18">
        <v>0.3</v>
      </c>
      <c r="H162" s="18">
        <v>0.82</v>
      </c>
      <c r="I162" s="19">
        <v>9</v>
      </c>
      <c r="J162" s="31" t="str">
        <f>LEFT(Table2[[#This Row],[Date]],10)</f>
        <v>2016-11-07</v>
      </c>
      <c r="K162" s="19" t="str">
        <f>RIGHT(Table2[[#This Row],[Date]],2)</f>
        <v>07</v>
      </c>
      <c r="L162" s="19" t="str">
        <f>TEXT(Table2[[#This Row],[New Date]], "ddd")</f>
        <v>Mon</v>
      </c>
      <c r="M162" s="19" t="str">
        <f t="shared" si="2"/>
        <v>Peak</v>
      </c>
    </row>
    <row r="163" spans="1:13" ht="15.75" customHeight="1">
      <c r="A163" s="18" t="s">
        <v>194</v>
      </c>
      <c r="B163" s="19">
        <v>23</v>
      </c>
      <c r="C163" s="19">
        <v>9</v>
      </c>
      <c r="D163" s="19">
        <v>1</v>
      </c>
      <c r="E163" s="19">
        <v>8</v>
      </c>
      <c r="F163" s="19">
        <v>4</v>
      </c>
      <c r="G163" s="18">
        <v>0.4</v>
      </c>
      <c r="H163" s="18">
        <v>0.22</v>
      </c>
      <c r="I163" s="19">
        <v>2</v>
      </c>
      <c r="J163" s="31" t="str">
        <f>LEFT(Table2[[#This Row],[Date]],10)</f>
        <v>2016-11-07</v>
      </c>
      <c r="K163" s="19" t="str">
        <f>RIGHT(Table2[[#This Row],[Date]],2)</f>
        <v>06</v>
      </c>
      <c r="L163" s="19" t="str">
        <f>TEXT(Table2[[#This Row],[New Date]], "ddd")</f>
        <v>Mon</v>
      </c>
      <c r="M163" s="19" t="str">
        <f t="shared" si="2"/>
        <v>Off-Peak</v>
      </c>
    </row>
    <row r="164" spans="1:13" ht="15.75" customHeight="1">
      <c r="A164" s="18" t="s">
        <v>195</v>
      </c>
      <c r="B164" s="19">
        <v>16</v>
      </c>
      <c r="C164" s="19">
        <v>9</v>
      </c>
      <c r="D164" s="19">
        <v>0</v>
      </c>
      <c r="E164" s="19">
        <v>9</v>
      </c>
      <c r="F164" s="19">
        <v>3</v>
      </c>
      <c r="G164" s="18">
        <v>0.6</v>
      </c>
      <c r="H164" s="19">
        <v>0</v>
      </c>
      <c r="I164" s="18">
        <v>0</v>
      </c>
      <c r="J164" s="31" t="str">
        <f>LEFT(Table2[[#This Row],[Date]],10)</f>
        <v>2016-11-07</v>
      </c>
      <c r="K164" s="19" t="str">
        <f>RIGHT(Table2[[#This Row],[Date]],2)</f>
        <v>05</v>
      </c>
      <c r="L164" s="19" t="str">
        <f>TEXT(Table2[[#This Row],[New Date]], "ddd")</f>
        <v>Mon</v>
      </c>
      <c r="M164" s="19" t="str">
        <f t="shared" si="2"/>
        <v>Off-Peak</v>
      </c>
    </row>
    <row r="165" spans="1:13" ht="15.75" customHeight="1">
      <c r="A165" s="18" t="s">
        <v>196</v>
      </c>
      <c r="B165" s="19">
        <v>19</v>
      </c>
      <c r="C165" s="19">
        <v>7</v>
      </c>
      <c r="D165" s="19">
        <v>0</v>
      </c>
      <c r="E165" s="19">
        <v>6</v>
      </c>
      <c r="F165" s="19">
        <v>4</v>
      </c>
      <c r="G165" s="18">
        <v>0.4</v>
      </c>
      <c r="H165" s="18">
        <v>0.14000000000000001</v>
      </c>
      <c r="I165" s="19">
        <v>1</v>
      </c>
      <c r="J165" s="31" t="str">
        <f>LEFT(Table2[[#This Row],[Date]],10)</f>
        <v>2016-11-07</v>
      </c>
      <c r="K165" s="19" t="str">
        <f>RIGHT(Table2[[#This Row],[Date]],2)</f>
        <v>04</v>
      </c>
      <c r="L165" s="19" t="str">
        <f>TEXT(Table2[[#This Row],[New Date]], "ddd")</f>
        <v>Mon</v>
      </c>
      <c r="M165" s="19" t="str">
        <f t="shared" si="2"/>
        <v>Off-Peak</v>
      </c>
    </row>
    <row r="166" spans="1:13" ht="15.75" customHeight="1">
      <c r="A166" s="18" t="s">
        <v>197</v>
      </c>
      <c r="B166" s="19">
        <v>16</v>
      </c>
      <c r="C166" s="19">
        <v>5</v>
      </c>
      <c r="D166" s="19">
        <v>0</v>
      </c>
      <c r="E166" s="19">
        <v>5</v>
      </c>
      <c r="F166" s="19">
        <v>3</v>
      </c>
      <c r="G166" s="18">
        <v>0.3</v>
      </c>
      <c r="H166" s="19">
        <v>0</v>
      </c>
      <c r="I166" s="18">
        <v>0</v>
      </c>
      <c r="J166" s="31" t="str">
        <f>LEFT(Table2[[#This Row],[Date]],10)</f>
        <v>2016-11-07</v>
      </c>
      <c r="K166" s="19" t="str">
        <f>RIGHT(Table2[[#This Row],[Date]],2)</f>
        <v>03</v>
      </c>
      <c r="L166" s="19" t="str">
        <f>TEXT(Table2[[#This Row],[New Date]], "ddd")</f>
        <v>Mon</v>
      </c>
      <c r="M166" s="19" t="str">
        <f t="shared" si="2"/>
        <v>Off-Peak</v>
      </c>
    </row>
    <row r="167" spans="1:13" ht="15.75" customHeight="1">
      <c r="A167" s="18" t="s">
        <v>198</v>
      </c>
      <c r="B167" s="19">
        <v>18</v>
      </c>
      <c r="C167" s="19">
        <v>7</v>
      </c>
      <c r="D167" s="19">
        <v>0</v>
      </c>
      <c r="E167" s="19">
        <v>7</v>
      </c>
      <c r="F167" s="19">
        <v>4</v>
      </c>
      <c r="G167" s="18">
        <v>0.4</v>
      </c>
      <c r="H167" s="18">
        <v>0.14000000000000001</v>
      </c>
      <c r="I167" s="19">
        <v>1</v>
      </c>
      <c r="J167" s="31" t="str">
        <f>LEFT(Table2[[#This Row],[Date]],10)</f>
        <v>2016-11-07</v>
      </c>
      <c r="K167" s="19" t="str">
        <f>RIGHT(Table2[[#This Row],[Date]],2)</f>
        <v>02</v>
      </c>
      <c r="L167" s="19" t="str">
        <f>TEXT(Table2[[#This Row],[New Date]], "ddd")</f>
        <v>Mon</v>
      </c>
      <c r="M167" s="19" t="str">
        <f t="shared" si="2"/>
        <v>Off-Peak</v>
      </c>
    </row>
    <row r="168" spans="1:13" ht="15.75" customHeight="1">
      <c r="A168" s="18" t="s">
        <v>199</v>
      </c>
      <c r="B168" s="19">
        <v>29</v>
      </c>
      <c r="C168" s="19">
        <v>13</v>
      </c>
      <c r="D168" s="19">
        <v>0</v>
      </c>
      <c r="E168" s="19">
        <v>13</v>
      </c>
      <c r="F168" s="19">
        <v>5</v>
      </c>
      <c r="G168" s="18">
        <v>0.4</v>
      </c>
      <c r="H168" s="19">
        <v>0</v>
      </c>
      <c r="I168" s="18">
        <v>0</v>
      </c>
      <c r="J168" s="31" t="str">
        <f>LEFT(Table2[[#This Row],[Date]],10)</f>
        <v>2016-11-07</v>
      </c>
      <c r="K168" s="19" t="str">
        <f>RIGHT(Table2[[#This Row],[Date]],2)</f>
        <v>01</v>
      </c>
      <c r="L168" s="19" t="str">
        <f>TEXT(Table2[[#This Row],[New Date]], "ddd")</f>
        <v>Mon</v>
      </c>
      <c r="M168" s="19" t="str">
        <f t="shared" si="2"/>
        <v>Off-Peak</v>
      </c>
    </row>
    <row r="169" spans="1:13" ht="15.75" customHeight="1">
      <c r="A169" s="18" t="s">
        <v>200</v>
      </c>
      <c r="B169" s="19">
        <v>42</v>
      </c>
      <c r="C169" s="19">
        <v>17</v>
      </c>
      <c r="D169" s="19">
        <v>4</v>
      </c>
      <c r="E169" s="19">
        <v>14</v>
      </c>
      <c r="F169" s="19">
        <v>8</v>
      </c>
      <c r="G169" s="18">
        <v>0.4</v>
      </c>
      <c r="H169" s="18">
        <v>0.35</v>
      </c>
      <c r="I169" s="19">
        <v>6</v>
      </c>
      <c r="J169" s="31" t="str">
        <f>LEFT(Table2[[#This Row],[Date]],10)</f>
        <v>2016-11-07</v>
      </c>
      <c r="K169" s="19" t="str">
        <f>RIGHT(Table2[[#This Row],[Date]],2)</f>
        <v>00</v>
      </c>
      <c r="L169" s="19" t="str">
        <f>TEXT(Table2[[#This Row],[New Date]], "ddd")</f>
        <v>Mon</v>
      </c>
      <c r="M169" s="19" t="str">
        <f t="shared" si="2"/>
        <v>Peak</v>
      </c>
    </row>
    <row r="170" spans="1:13" ht="15.75" customHeight="1"/>
    <row r="171" spans="1:13" ht="15.75" customHeight="1"/>
    <row r="172" spans="1:13" ht="15.75" customHeight="1"/>
    <row r="173" spans="1:13" ht="15.75" customHeight="1"/>
    <row r="174" spans="1:13" ht="15.75" customHeight="1"/>
    <row r="175" spans="1:13" ht="15.75" customHeight="1"/>
    <row r="176" spans="1:13"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00"/>
  <sheetViews>
    <sheetView showGridLines="0" topLeftCell="A11" workbookViewId="0">
      <selection activeCell="K31" sqref="K31"/>
    </sheetView>
  </sheetViews>
  <sheetFormatPr defaultColWidth="14.453125" defaultRowHeight="15" customHeight="1"/>
  <cols>
    <col min="1" max="1" width="3" customWidth="1"/>
    <col min="2" max="2" width="27.54296875" bestFit="1" customWidth="1"/>
    <col min="3" max="3" width="15.26953125" bestFit="1" customWidth="1"/>
    <col min="4" max="4" width="3.90625" bestFit="1" customWidth="1"/>
    <col min="5" max="5" width="4" bestFit="1" customWidth="1"/>
    <col min="6" max="6" width="4.7265625" bestFit="1" customWidth="1"/>
    <col min="7" max="7" width="4" bestFit="1" customWidth="1"/>
    <col min="8" max="8" width="2.90625" bestFit="1" customWidth="1"/>
    <col min="9" max="9" width="3.453125" bestFit="1" customWidth="1"/>
    <col min="10" max="10" width="10.7265625" bestFit="1" customWidth="1"/>
    <col min="11" max="16" width="9.08984375" customWidth="1"/>
    <col min="17"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3"/>
      <c r="R2" s="3"/>
      <c r="S2" s="3"/>
      <c r="T2" s="3"/>
      <c r="U2" s="3"/>
      <c r="V2" s="3"/>
      <c r="W2" s="13"/>
      <c r="X2" s="13"/>
    </row>
    <row r="3" spans="1:24" ht="15" customHeight="1">
      <c r="A3" s="13"/>
      <c r="B3" s="44" t="s">
        <v>209</v>
      </c>
      <c r="C3" s="38"/>
      <c r="D3" s="38"/>
      <c r="E3" s="38"/>
      <c r="F3" s="38"/>
      <c r="G3" s="38"/>
      <c r="H3" s="38"/>
      <c r="I3" s="38"/>
      <c r="J3" s="38"/>
      <c r="K3" s="38"/>
      <c r="L3" s="38"/>
      <c r="M3" s="38"/>
      <c r="N3" s="38"/>
      <c r="O3" s="38"/>
      <c r="P3" s="38"/>
      <c r="Q3" s="13"/>
      <c r="R3" s="13"/>
      <c r="S3" s="13"/>
      <c r="T3" s="13"/>
      <c r="U3" s="13"/>
      <c r="V3" s="13"/>
      <c r="W3" s="13"/>
      <c r="X3" s="13"/>
    </row>
    <row r="4" spans="1:24" ht="14.5">
      <c r="A4" s="13"/>
      <c r="B4" s="45" t="s">
        <v>210</v>
      </c>
      <c r="C4" s="38"/>
      <c r="D4" s="38"/>
      <c r="E4" s="38"/>
      <c r="F4" s="38"/>
      <c r="G4" s="38"/>
      <c r="H4" s="38"/>
      <c r="I4" s="38"/>
      <c r="J4" s="38"/>
      <c r="K4" s="38"/>
      <c r="L4" s="38"/>
      <c r="M4" s="38"/>
      <c r="N4" s="38"/>
      <c r="O4" s="38"/>
      <c r="P4" s="38"/>
      <c r="Q4" s="13"/>
      <c r="R4" s="13"/>
      <c r="S4" s="13"/>
      <c r="T4" s="13"/>
      <c r="U4" s="13"/>
      <c r="V4" s="13"/>
      <c r="W4" s="13"/>
      <c r="X4" s="13"/>
    </row>
    <row r="5" spans="1:24" ht="14.5">
      <c r="A5" s="13"/>
      <c r="C5" s="13"/>
      <c r="D5" s="13"/>
      <c r="E5" s="13"/>
      <c r="F5" s="13"/>
      <c r="G5" s="13"/>
      <c r="H5" s="13"/>
      <c r="I5" s="13"/>
      <c r="J5" s="13"/>
      <c r="K5" s="13"/>
      <c r="L5" s="13"/>
      <c r="M5" s="13"/>
      <c r="N5" s="13"/>
      <c r="O5" s="13"/>
      <c r="P5" s="13"/>
      <c r="Q5" s="13"/>
      <c r="R5" s="13"/>
      <c r="S5" s="13"/>
      <c r="T5" s="13"/>
      <c r="U5" s="13"/>
      <c r="V5" s="13"/>
      <c r="W5" s="13"/>
      <c r="X5" s="13"/>
    </row>
    <row r="6" spans="1:24" ht="14.5">
      <c r="A6" s="13"/>
      <c r="B6" s="30" t="s">
        <v>252</v>
      </c>
      <c r="K6" s="13"/>
      <c r="L6" s="13"/>
      <c r="M6" s="13"/>
      <c r="N6" s="13"/>
      <c r="O6" s="13"/>
      <c r="P6" s="13"/>
      <c r="Q6" s="13"/>
      <c r="R6" s="13"/>
      <c r="S6" s="13"/>
      <c r="T6" s="13"/>
      <c r="U6" s="13"/>
      <c r="V6" s="13"/>
      <c r="W6" s="13"/>
      <c r="X6" s="13"/>
    </row>
    <row r="7" spans="1:24" ht="14.5">
      <c r="A7" s="13"/>
      <c r="K7" s="13"/>
      <c r="L7" s="13"/>
      <c r="M7" s="13"/>
      <c r="N7" s="13"/>
      <c r="O7" s="13"/>
      <c r="P7" s="13"/>
      <c r="Q7" s="13"/>
      <c r="R7" s="13"/>
      <c r="S7" s="13"/>
      <c r="T7" s="13"/>
      <c r="U7" s="13"/>
      <c r="V7" s="13"/>
      <c r="W7" s="13"/>
      <c r="X7" s="13"/>
    </row>
    <row r="8" spans="1:24" ht="14.5">
      <c r="A8" s="13"/>
      <c r="B8" s="27" t="s">
        <v>32</v>
      </c>
      <c r="C8" s="28">
        <v>100</v>
      </c>
      <c r="K8" s="13"/>
      <c r="L8" s="13"/>
      <c r="M8" s="13"/>
      <c r="N8" s="13"/>
      <c r="O8" s="13"/>
      <c r="P8" s="13"/>
      <c r="Q8" s="13"/>
      <c r="R8" s="13"/>
      <c r="S8" s="13"/>
      <c r="T8" s="13"/>
      <c r="U8" s="13"/>
      <c r="V8" s="13"/>
      <c r="W8" s="13"/>
      <c r="X8" s="13"/>
    </row>
    <row r="9" spans="1:24" ht="14.5">
      <c r="A9" s="13"/>
      <c r="K9" s="13"/>
      <c r="L9" s="13"/>
      <c r="M9" s="13"/>
      <c r="N9" s="13"/>
      <c r="O9" s="13"/>
      <c r="P9" s="13"/>
      <c r="Q9" s="13"/>
      <c r="R9" s="13"/>
      <c r="S9" s="13"/>
      <c r="T9" s="13"/>
      <c r="U9" s="13"/>
      <c r="V9" s="13"/>
      <c r="W9" s="13"/>
      <c r="X9" s="13"/>
    </row>
    <row r="10" spans="1:24" ht="14.5">
      <c r="A10" s="13"/>
      <c r="B10" s="29" t="s">
        <v>217</v>
      </c>
      <c r="C10" s="29" t="s">
        <v>244</v>
      </c>
      <c r="D10" s="29"/>
      <c r="E10" s="29"/>
      <c r="K10" s="13"/>
      <c r="L10" s="13"/>
      <c r="M10" s="13"/>
      <c r="N10" s="13"/>
      <c r="O10" s="13"/>
      <c r="P10" s="13"/>
      <c r="Q10" s="13"/>
      <c r="R10" s="13"/>
      <c r="S10" s="13"/>
      <c r="T10" s="13"/>
      <c r="U10" s="13"/>
      <c r="V10" s="13"/>
      <c r="W10" s="13"/>
      <c r="X10" s="13"/>
    </row>
    <row r="11" spans="1:24" ht="14.5">
      <c r="A11" s="13"/>
      <c r="B11" s="29" t="s">
        <v>218</v>
      </c>
      <c r="C11" s="29" t="s">
        <v>246</v>
      </c>
      <c r="D11" s="29" t="s">
        <v>247</v>
      </c>
      <c r="E11" s="29" t="s">
        <v>249</v>
      </c>
      <c r="K11" s="13"/>
      <c r="L11" s="13"/>
      <c r="M11" s="13"/>
      <c r="N11" s="13"/>
      <c r="O11" s="13"/>
      <c r="P11" s="13"/>
      <c r="Q11" s="13"/>
      <c r="R11" s="13"/>
      <c r="S11" s="13"/>
      <c r="T11" s="13"/>
      <c r="U11" s="13"/>
      <c r="V11" s="13"/>
      <c r="W11" s="13"/>
      <c r="X11" s="13"/>
    </row>
    <row r="12" spans="1:24" ht="14.5">
      <c r="A12" s="13"/>
      <c r="B12" s="28" t="s">
        <v>222</v>
      </c>
      <c r="E12">
        <v>100</v>
      </c>
      <c r="K12" s="13"/>
      <c r="L12" s="13"/>
      <c r="M12" s="13"/>
      <c r="N12" s="13"/>
      <c r="O12" s="13"/>
      <c r="P12" s="13"/>
      <c r="Q12" s="13"/>
      <c r="R12" s="13"/>
      <c r="S12" s="13"/>
      <c r="T12" s="13"/>
      <c r="U12" s="13"/>
      <c r="V12" s="13"/>
      <c r="W12" s="13"/>
      <c r="X12" s="13"/>
    </row>
    <row r="13" spans="1:24" ht="14.5">
      <c r="A13" s="13"/>
      <c r="B13" s="28" t="s">
        <v>224</v>
      </c>
      <c r="D13">
        <v>100</v>
      </c>
      <c r="K13" s="13"/>
      <c r="L13" s="13"/>
      <c r="M13" s="13"/>
      <c r="N13" s="13"/>
      <c r="O13" s="13"/>
      <c r="P13" s="13"/>
      <c r="Q13" s="13"/>
      <c r="R13" s="13"/>
      <c r="S13" s="13"/>
      <c r="T13" s="13"/>
      <c r="U13" s="13"/>
      <c r="V13" s="13"/>
      <c r="W13" s="13"/>
      <c r="X13" s="13"/>
    </row>
    <row r="14" spans="1:24" ht="14.5">
      <c r="A14" s="13"/>
      <c r="B14" s="28" t="s">
        <v>235</v>
      </c>
      <c r="C14">
        <v>100</v>
      </c>
      <c r="K14" s="13"/>
      <c r="L14" s="13"/>
      <c r="M14" s="13"/>
      <c r="N14" s="13"/>
      <c r="O14" s="13"/>
      <c r="P14" s="13"/>
      <c r="Q14" s="13"/>
      <c r="R14" s="13"/>
      <c r="S14" s="13"/>
      <c r="T14" s="13"/>
      <c r="U14" s="13"/>
      <c r="V14" s="13"/>
      <c r="W14" s="13"/>
      <c r="X14" s="13"/>
    </row>
    <row r="15" spans="1:24" ht="14.5">
      <c r="A15" s="13"/>
      <c r="K15" s="13"/>
      <c r="L15" s="13"/>
      <c r="M15" s="13"/>
      <c r="N15" s="13"/>
      <c r="O15" s="13"/>
      <c r="P15" s="13"/>
      <c r="Q15" s="13"/>
      <c r="R15" s="13"/>
      <c r="S15" s="13"/>
      <c r="T15" s="13"/>
      <c r="U15" s="13"/>
      <c r="V15" s="13"/>
      <c r="W15" s="13"/>
      <c r="X15" s="13"/>
    </row>
    <row r="16" spans="1:24" ht="14.5">
      <c r="A16" s="13"/>
      <c r="B16" s="30" t="s">
        <v>253</v>
      </c>
      <c r="K16" s="13"/>
      <c r="L16" s="13"/>
      <c r="M16" s="13"/>
      <c r="N16" s="13"/>
      <c r="O16" s="13"/>
      <c r="P16" s="13"/>
      <c r="Q16" s="13"/>
      <c r="R16" s="13"/>
      <c r="S16" s="13"/>
      <c r="T16" s="13"/>
      <c r="U16" s="13"/>
      <c r="V16" s="13"/>
      <c r="W16" s="13"/>
      <c r="X16" s="13"/>
    </row>
    <row r="17" spans="1:24" ht="14.5">
      <c r="A17" s="13"/>
      <c r="K17" s="13"/>
      <c r="L17" s="13"/>
      <c r="M17" s="13"/>
      <c r="N17" s="13"/>
      <c r="O17" s="13"/>
      <c r="P17" s="13"/>
      <c r="Q17" s="13"/>
      <c r="R17" s="13"/>
      <c r="S17" s="13"/>
      <c r="T17" s="13"/>
      <c r="U17" s="13"/>
      <c r="V17" s="13"/>
      <c r="W17" s="13"/>
      <c r="X17" s="13"/>
    </row>
    <row r="18" spans="1:24" ht="14.5">
      <c r="A18" s="13"/>
      <c r="K18" s="13"/>
      <c r="L18" s="13"/>
      <c r="M18" s="13"/>
      <c r="N18" s="13"/>
      <c r="O18" s="13"/>
      <c r="P18" s="13"/>
      <c r="Q18" s="13"/>
      <c r="R18" s="13"/>
      <c r="S18" s="13"/>
      <c r="T18" s="13"/>
      <c r="U18" s="13"/>
      <c r="V18" s="13"/>
      <c r="W18" s="13"/>
      <c r="X18" s="13"/>
    </row>
    <row r="19" spans="1:24" ht="14.5">
      <c r="A19" s="13"/>
      <c r="K19" s="13"/>
      <c r="L19" s="13"/>
      <c r="M19" s="13"/>
      <c r="N19" s="13"/>
      <c r="O19" s="13"/>
      <c r="P19" s="13"/>
      <c r="Q19" s="13"/>
      <c r="R19" s="13"/>
      <c r="S19" s="13"/>
      <c r="T19" s="13"/>
      <c r="U19" s="13"/>
      <c r="V19" s="13"/>
      <c r="W19" s="13"/>
      <c r="X19" s="13"/>
    </row>
    <row r="20" spans="1:24" ht="14.5">
      <c r="A20" s="13"/>
      <c r="B20" s="29" t="s">
        <v>217</v>
      </c>
      <c r="C20" s="29" t="s">
        <v>244</v>
      </c>
      <c r="D20" s="29"/>
      <c r="E20" s="29"/>
      <c r="F20" s="29"/>
      <c r="G20" s="29"/>
      <c r="H20" s="29"/>
      <c r="I20" s="29"/>
      <c r="K20" s="13"/>
      <c r="L20" s="13"/>
      <c r="M20" s="13"/>
      <c r="N20" s="13"/>
      <c r="O20" s="13"/>
      <c r="P20" s="13"/>
      <c r="Q20" s="13"/>
      <c r="R20" s="13"/>
      <c r="S20" s="13"/>
      <c r="T20" s="13"/>
      <c r="U20" s="13"/>
      <c r="V20" s="13"/>
      <c r="W20" s="13"/>
      <c r="X20" s="13"/>
    </row>
    <row r="21" spans="1:24" ht="15.75" customHeight="1">
      <c r="A21" s="13"/>
      <c r="B21" s="29" t="s">
        <v>218</v>
      </c>
      <c r="C21" t="s">
        <v>245</v>
      </c>
      <c r="D21" s="29" t="s">
        <v>246</v>
      </c>
      <c r="E21" s="29" t="s">
        <v>247</v>
      </c>
      <c r="F21" t="s">
        <v>248</v>
      </c>
      <c r="G21" s="29" t="s">
        <v>249</v>
      </c>
      <c r="H21" t="s">
        <v>250</v>
      </c>
      <c r="I21" t="s">
        <v>251</v>
      </c>
      <c r="K21" s="13"/>
      <c r="L21" s="13"/>
      <c r="M21" s="13"/>
      <c r="N21" s="13"/>
      <c r="O21" s="13"/>
      <c r="P21" s="13"/>
      <c r="Q21" s="13"/>
      <c r="R21" s="13"/>
      <c r="S21" s="13"/>
      <c r="T21" s="13"/>
      <c r="U21" s="13"/>
      <c r="V21" s="13"/>
      <c r="W21" s="13"/>
      <c r="X21" s="13"/>
    </row>
    <row r="22" spans="1:24" ht="15.75" customHeight="1">
      <c r="A22" s="13"/>
      <c r="B22" s="28" t="s">
        <v>219</v>
      </c>
      <c r="C22">
        <v>79</v>
      </c>
      <c r="D22">
        <v>81</v>
      </c>
      <c r="E22">
        <v>94</v>
      </c>
      <c r="F22">
        <v>91</v>
      </c>
      <c r="G22">
        <v>81</v>
      </c>
      <c r="H22">
        <v>76</v>
      </c>
      <c r="I22">
        <v>57</v>
      </c>
      <c r="K22" s="13"/>
      <c r="L22" s="13"/>
      <c r="M22" s="13"/>
      <c r="N22" s="13"/>
      <c r="O22" s="13"/>
      <c r="P22" s="13"/>
      <c r="Q22" s="13"/>
      <c r="R22" s="13"/>
      <c r="S22" s="13"/>
      <c r="T22" s="13"/>
      <c r="U22" s="13"/>
      <c r="V22" s="13"/>
      <c r="W22" s="13"/>
      <c r="X22" s="13"/>
    </row>
    <row r="23" spans="1:24" ht="15.75" customHeight="1">
      <c r="A23" s="13"/>
      <c r="B23" s="28" t="s">
        <v>220</v>
      </c>
      <c r="C23">
        <v>84</v>
      </c>
      <c r="D23">
        <v>76</v>
      </c>
      <c r="E23">
        <v>83</v>
      </c>
      <c r="F23">
        <v>78</v>
      </c>
      <c r="G23">
        <v>73</v>
      </c>
      <c r="H23">
        <v>75</v>
      </c>
      <c r="I23">
        <v>90</v>
      </c>
      <c r="K23" s="13"/>
      <c r="L23" s="13"/>
      <c r="M23" s="13"/>
      <c r="N23" s="13"/>
      <c r="O23" s="13"/>
      <c r="P23" s="13"/>
      <c r="Q23" s="13"/>
      <c r="R23" s="13"/>
      <c r="S23" s="13"/>
      <c r="T23" s="13"/>
      <c r="U23" s="13"/>
      <c r="V23" s="13"/>
      <c r="W23" s="13"/>
      <c r="X23" s="13"/>
    </row>
    <row r="24" spans="1:24" ht="15.75" customHeight="1">
      <c r="A24" s="13"/>
      <c r="B24" s="28" t="s">
        <v>221</v>
      </c>
      <c r="C24">
        <v>79</v>
      </c>
      <c r="D24">
        <v>50</v>
      </c>
      <c r="E24">
        <v>56</v>
      </c>
      <c r="F24">
        <v>80</v>
      </c>
      <c r="G24">
        <v>60</v>
      </c>
      <c r="H24">
        <v>92</v>
      </c>
      <c r="I24">
        <v>94</v>
      </c>
      <c r="K24" s="13"/>
      <c r="L24" s="13"/>
      <c r="M24" s="13"/>
      <c r="N24" s="13"/>
      <c r="O24" s="13"/>
      <c r="P24" s="13"/>
      <c r="Q24" s="13"/>
      <c r="R24" s="13"/>
      <c r="S24" s="13"/>
      <c r="T24" s="13"/>
      <c r="U24" s="13"/>
      <c r="V24" s="13"/>
      <c r="W24" s="13"/>
      <c r="X24" s="13"/>
    </row>
    <row r="25" spans="1:24" ht="15.75" customHeight="1">
      <c r="A25" s="13"/>
      <c r="B25" s="28" t="s">
        <v>222</v>
      </c>
      <c r="C25">
        <v>67</v>
      </c>
      <c r="D25">
        <v>0</v>
      </c>
      <c r="E25">
        <v>44</v>
      </c>
      <c r="F25">
        <v>56</v>
      </c>
      <c r="G25">
        <v>100</v>
      </c>
      <c r="H25">
        <v>67</v>
      </c>
      <c r="I25">
        <v>70</v>
      </c>
      <c r="K25" s="13"/>
      <c r="L25" s="13"/>
      <c r="M25" s="13"/>
      <c r="N25" s="13"/>
      <c r="O25" s="13"/>
      <c r="P25" s="13"/>
      <c r="Q25" s="13"/>
      <c r="R25" s="13"/>
      <c r="S25" s="13"/>
      <c r="T25" s="13"/>
      <c r="U25" s="13"/>
      <c r="V25" s="13"/>
      <c r="W25" s="13"/>
      <c r="X25" s="13"/>
    </row>
    <row r="26" spans="1:24" ht="15.75" customHeight="1">
      <c r="A26" s="13"/>
      <c r="B26" s="28" t="s">
        <v>223</v>
      </c>
      <c r="C26">
        <v>45</v>
      </c>
      <c r="D26">
        <v>50</v>
      </c>
      <c r="E26">
        <v>57</v>
      </c>
      <c r="F26">
        <v>43</v>
      </c>
      <c r="G26">
        <v>50</v>
      </c>
      <c r="H26">
        <v>20</v>
      </c>
      <c r="I26">
        <v>55</v>
      </c>
      <c r="K26" s="13"/>
      <c r="L26" s="13"/>
      <c r="M26" s="13"/>
      <c r="N26" s="13"/>
      <c r="O26" s="13"/>
      <c r="P26" s="13"/>
      <c r="Q26" s="13"/>
      <c r="R26" s="13"/>
      <c r="S26" s="13"/>
      <c r="T26" s="13"/>
      <c r="U26" s="13"/>
      <c r="V26" s="13"/>
      <c r="W26" s="13"/>
      <c r="X26" s="13"/>
    </row>
    <row r="27" spans="1:24" ht="15.75" customHeight="1">
      <c r="A27" s="13"/>
      <c r="B27" s="28" t="s">
        <v>224</v>
      </c>
      <c r="C27">
        <v>85</v>
      </c>
      <c r="D27">
        <v>50</v>
      </c>
      <c r="E27">
        <v>100</v>
      </c>
      <c r="F27">
        <v>50</v>
      </c>
      <c r="G27">
        <v>60</v>
      </c>
      <c r="H27">
        <v>83</v>
      </c>
      <c r="I27">
        <v>77</v>
      </c>
      <c r="K27" s="13"/>
      <c r="L27" s="13"/>
      <c r="M27" s="13"/>
      <c r="N27" s="13"/>
      <c r="O27" s="13"/>
      <c r="P27" s="13"/>
      <c r="Q27" s="13"/>
      <c r="R27" s="13"/>
      <c r="S27" s="13"/>
      <c r="T27" s="13"/>
      <c r="U27" s="13"/>
      <c r="V27" s="13"/>
      <c r="W27" s="13"/>
      <c r="X27" s="13"/>
    </row>
    <row r="28" spans="1:24" ht="15.75" customHeight="1">
      <c r="A28" s="13"/>
      <c r="B28" s="28" t="s">
        <v>225</v>
      </c>
      <c r="C28">
        <v>80</v>
      </c>
      <c r="D28">
        <v>36</v>
      </c>
      <c r="E28">
        <v>73</v>
      </c>
      <c r="F28">
        <v>18</v>
      </c>
      <c r="G28">
        <v>57</v>
      </c>
      <c r="H28">
        <v>60</v>
      </c>
      <c r="I28">
        <v>83</v>
      </c>
      <c r="K28" s="13"/>
      <c r="L28" s="13"/>
      <c r="M28" s="13"/>
      <c r="N28" s="13"/>
      <c r="O28" s="13"/>
      <c r="P28" s="13"/>
      <c r="Q28" s="13"/>
      <c r="R28" s="13"/>
      <c r="S28" s="13"/>
      <c r="T28" s="13"/>
      <c r="U28" s="13"/>
      <c r="V28" s="13"/>
      <c r="W28" s="13"/>
      <c r="X28" s="13"/>
    </row>
    <row r="29" spans="1:24" ht="15.75" customHeight="1">
      <c r="A29" s="13"/>
      <c r="B29" s="28" t="s">
        <v>226</v>
      </c>
      <c r="C29">
        <v>71</v>
      </c>
      <c r="D29">
        <v>56</v>
      </c>
      <c r="E29">
        <v>69</v>
      </c>
      <c r="F29">
        <v>53</v>
      </c>
      <c r="G29">
        <v>52</v>
      </c>
      <c r="H29">
        <v>55</v>
      </c>
      <c r="I29">
        <v>78</v>
      </c>
      <c r="K29" s="13"/>
      <c r="L29" s="13"/>
      <c r="M29" s="13"/>
      <c r="N29" s="13"/>
      <c r="O29" s="13"/>
      <c r="P29" s="13"/>
      <c r="Q29" s="13"/>
      <c r="R29" s="13"/>
      <c r="S29" s="13"/>
      <c r="T29" s="13"/>
      <c r="U29" s="13"/>
      <c r="V29" s="13"/>
      <c r="W29" s="13"/>
      <c r="X29" s="13"/>
    </row>
    <row r="30" spans="1:24" ht="15.75" customHeight="1">
      <c r="A30" s="13"/>
      <c r="B30" s="28" t="s">
        <v>227</v>
      </c>
      <c r="C30">
        <v>79</v>
      </c>
      <c r="D30">
        <v>53</v>
      </c>
      <c r="E30">
        <v>68</v>
      </c>
      <c r="F30">
        <v>39</v>
      </c>
      <c r="G30">
        <v>56</v>
      </c>
      <c r="H30">
        <v>65</v>
      </c>
      <c r="I30">
        <v>59</v>
      </c>
      <c r="K30" s="13"/>
      <c r="L30" s="13"/>
      <c r="M30" s="13"/>
      <c r="N30" s="13"/>
      <c r="O30" s="13"/>
      <c r="P30" s="13"/>
      <c r="Q30" s="13"/>
      <c r="R30" s="13"/>
      <c r="S30" s="13"/>
      <c r="T30" s="13"/>
      <c r="U30" s="13"/>
      <c r="V30" s="13"/>
      <c r="W30" s="13"/>
      <c r="X30" s="13"/>
    </row>
    <row r="31" spans="1:24" ht="15.75" customHeight="1">
      <c r="A31" s="13"/>
      <c r="B31" s="28" t="s">
        <v>228</v>
      </c>
      <c r="C31">
        <v>59</v>
      </c>
      <c r="D31">
        <v>58</v>
      </c>
      <c r="E31">
        <v>76</v>
      </c>
      <c r="F31">
        <v>51</v>
      </c>
      <c r="G31">
        <v>57</v>
      </c>
      <c r="H31">
        <v>67</v>
      </c>
      <c r="I31">
        <v>79</v>
      </c>
      <c r="K31" s="13"/>
      <c r="L31" s="13"/>
      <c r="M31" s="13"/>
      <c r="N31" s="13"/>
      <c r="O31" s="13"/>
      <c r="P31" s="13"/>
      <c r="Q31" s="13"/>
      <c r="R31" s="13"/>
      <c r="S31" s="13"/>
      <c r="T31" s="13"/>
      <c r="U31" s="13"/>
      <c r="V31" s="13"/>
      <c r="W31" s="13"/>
      <c r="X31" s="13"/>
    </row>
    <row r="32" spans="1:24" ht="15.75" customHeight="1">
      <c r="A32" s="13"/>
      <c r="B32" s="28" t="s">
        <v>229</v>
      </c>
      <c r="C32">
        <v>54</v>
      </c>
      <c r="D32">
        <v>56</v>
      </c>
      <c r="E32">
        <v>76</v>
      </c>
      <c r="F32">
        <v>67</v>
      </c>
      <c r="G32">
        <v>79</v>
      </c>
      <c r="H32">
        <v>67</v>
      </c>
      <c r="I32">
        <v>66</v>
      </c>
      <c r="K32" s="13"/>
      <c r="L32" s="13"/>
      <c r="M32" s="13"/>
      <c r="N32" s="13"/>
      <c r="O32" s="13"/>
      <c r="P32" s="13"/>
      <c r="Q32" s="13"/>
      <c r="R32" s="13"/>
      <c r="S32" s="13"/>
      <c r="T32" s="13"/>
      <c r="U32" s="13"/>
      <c r="V32" s="13"/>
      <c r="W32" s="13"/>
      <c r="X32" s="13"/>
    </row>
    <row r="33" spans="1:24" ht="15.75" customHeight="1">
      <c r="A33" s="13"/>
      <c r="B33" s="28" t="s">
        <v>230</v>
      </c>
      <c r="C33">
        <v>85</v>
      </c>
      <c r="D33">
        <v>77</v>
      </c>
      <c r="E33">
        <v>86</v>
      </c>
      <c r="F33">
        <v>80</v>
      </c>
      <c r="G33">
        <v>89</v>
      </c>
      <c r="H33">
        <v>79</v>
      </c>
      <c r="I33">
        <v>51</v>
      </c>
      <c r="J33" s="13"/>
      <c r="K33" s="13"/>
      <c r="L33" s="13"/>
      <c r="M33" s="13"/>
      <c r="N33" s="13"/>
      <c r="O33" s="13"/>
      <c r="P33" s="13"/>
      <c r="Q33" s="13"/>
      <c r="R33" s="13"/>
      <c r="S33" s="13"/>
      <c r="T33" s="13"/>
      <c r="U33" s="13"/>
      <c r="V33" s="13"/>
      <c r="W33" s="13"/>
      <c r="X33" s="13"/>
    </row>
    <row r="34" spans="1:24" ht="15.75" customHeight="1">
      <c r="A34" s="13"/>
      <c r="B34" s="28" t="s">
        <v>231</v>
      </c>
      <c r="C34">
        <v>71</v>
      </c>
      <c r="D34">
        <v>82</v>
      </c>
      <c r="E34">
        <v>88</v>
      </c>
      <c r="F34">
        <v>71</v>
      </c>
      <c r="G34">
        <v>85</v>
      </c>
      <c r="H34">
        <v>73</v>
      </c>
      <c r="I34">
        <v>52</v>
      </c>
      <c r="J34" s="13"/>
      <c r="K34" s="13"/>
      <c r="L34" s="13"/>
      <c r="M34" s="13"/>
      <c r="N34" s="13"/>
      <c r="O34" s="13"/>
      <c r="P34" s="13"/>
      <c r="Q34" s="13"/>
      <c r="R34" s="13"/>
      <c r="S34" s="13"/>
      <c r="T34" s="13"/>
      <c r="U34" s="13"/>
      <c r="V34" s="13"/>
      <c r="W34" s="13"/>
      <c r="X34" s="13"/>
    </row>
    <row r="35" spans="1:24" ht="15.75" customHeight="1">
      <c r="A35" s="13"/>
      <c r="B35" s="28" t="s">
        <v>232</v>
      </c>
      <c r="C35">
        <v>70</v>
      </c>
      <c r="D35">
        <v>82</v>
      </c>
      <c r="E35">
        <v>91</v>
      </c>
      <c r="F35">
        <v>87</v>
      </c>
      <c r="G35">
        <v>89</v>
      </c>
      <c r="H35">
        <v>79</v>
      </c>
      <c r="I35">
        <v>66</v>
      </c>
      <c r="J35" s="13"/>
      <c r="K35" s="13"/>
      <c r="L35" s="13"/>
      <c r="M35" s="13"/>
      <c r="N35" s="13"/>
      <c r="O35" s="13"/>
      <c r="P35" s="13"/>
      <c r="Q35" s="13"/>
      <c r="R35" s="13"/>
      <c r="S35" s="13"/>
      <c r="T35" s="13"/>
      <c r="U35" s="13"/>
      <c r="V35" s="13"/>
      <c r="W35" s="13"/>
      <c r="X35" s="13"/>
    </row>
    <row r="36" spans="1:24" ht="15.75" customHeight="1">
      <c r="A36" s="13"/>
      <c r="B36" s="28" t="s">
        <v>233</v>
      </c>
      <c r="C36">
        <v>69</v>
      </c>
      <c r="D36">
        <v>88</v>
      </c>
      <c r="E36">
        <v>84</v>
      </c>
      <c r="F36">
        <v>92</v>
      </c>
      <c r="G36">
        <v>88</v>
      </c>
      <c r="H36">
        <v>78</v>
      </c>
      <c r="I36">
        <v>82</v>
      </c>
      <c r="J36" s="13"/>
      <c r="K36" s="13"/>
      <c r="L36" s="13"/>
      <c r="M36" s="13"/>
      <c r="N36" s="13"/>
      <c r="O36" s="13"/>
      <c r="P36" s="13"/>
      <c r="Q36" s="13"/>
      <c r="R36" s="13"/>
      <c r="S36" s="13"/>
      <c r="T36" s="13"/>
      <c r="U36" s="13"/>
      <c r="V36" s="13"/>
      <c r="W36" s="13"/>
      <c r="X36" s="13"/>
    </row>
    <row r="37" spans="1:24" ht="15.75" customHeight="1">
      <c r="A37" s="13"/>
      <c r="B37" s="28" t="s">
        <v>234</v>
      </c>
      <c r="C37">
        <v>82</v>
      </c>
      <c r="D37">
        <v>91</v>
      </c>
      <c r="E37">
        <v>95</v>
      </c>
      <c r="F37">
        <v>84</v>
      </c>
      <c r="G37">
        <v>77</v>
      </c>
      <c r="H37">
        <v>82</v>
      </c>
      <c r="I37">
        <v>94</v>
      </c>
      <c r="J37" s="13"/>
      <c r="K37" s="13"/>
      <c r="L37" s="13"/>
      <c r="M37" s="13"/>
      <c r="N37" s="13"/>
      <c r="O37" s="13"/>
      <c r="P37" s="13"/>
      <c r="Q37" s="13"/>
      <c r="R37" s="13"/>
      <c r="S37" s="13"/>
      <c r="T37" s="13"/>
      <c r="U37" s="13"/>
      <c r="V37" s="13"/>
      <c r="W37" s="13"/>
      <c r="X37" s="13"/>
    </row>
    <row r="38" spans="1:24" ht="15.75" customHeight="1">
      <c r="A38" s="13"/>
      <c r="B38" s="28" t="s">
        <v>235</v>
      </c>
      <c r="C38">
        <v>81</v>
      </c>
      <c r="D38">
        <v>100</v>
      </c>
      <c r="E38">
        <v>92</v>
      </c>
      <c r="F38">
        <v>83</v>
      </c>
      <c r="G38">
        <v>84</v>
      </c>
      <c r="H38">
        <v>63</v>
      </c>
      <c r="I38">
        <v>76</v>
      </c>
      <c r="J38" s="13"/>
      <c r="K38" s="13"/>
      <c r="L38" s="13"/>
      <c r="M38" s="13"/>
      <c r="N38" s="13"/>
      <c r="O38" s="13"/>
      <c r="P38" s="13"/>
      <c r="Q38" s="13"/>
      <c r="R38" s="13"/>
      <c r="S38" s="13"/>
      <c r="T38" s="13"/>
      <c r="U38" s="13"/>
      <c r="V38" s="13"/>
      <c r="W38" s="13"/>
      <c r="X38" s="13"/>
    </row>
    <row r="39" spans="1:24" ht="15.75" customHeight="1">
      <c r="A39" s="13"/>
      <c r="B39" s="28" t="s">
        <v>236</v>
      </c>
      <c r="C39">
        <v>68</v>
      </c>
      <c r="D39">
        <v>97</v>
      </c>
      <c r="E39">
        <v>80</v>
      </c>
      <c r="F39">
        <v>92</v>
      </c>
      <c r="G39">
        <v>84</v>
      </c>
      <c r="H39">
        <v>62</v>
      </c>
      <c r="I39">
        <v>82</v>
      </c>
      <c r="J39" s="13"/>
      <c r="K39" s="13"/>
      <c r="L39" s="13"/>
      <c r="M39" s="13"/>
      <c r="N39" s="13"/>
      <c r="O39" s="13"/>
      <c r="P39" s="13"/>
      <c r="Q39" s="13"/>
      <c r="R39" s="13"/>
      <c r="S39" s="13"/>
      <c r="T39" s="13"/>
      <c r="U39" s="13"/>
      <c r="V39" s="13"/>
      <c r="W39" s="13"/>
      <c r="X39" s="13"/>
    </row>
    <row r="40" spans="1:24" ht="15.75" customHeight="1">
      <c r="A40" s="13"/>
      <c r="B40" s="28" t="s">
        <v>237</v>
      </c>
      <c r="C40">
        <v>85</v>
      </c>
      <c r="D40">
        <v>96</v>
      </c>
      <c r="E40">
        <v>55</v>
      </c>
      <c r="F40">
        <v>81</v>
      </c>
      <c r="G40">
        <v>91</v>
      </c>
      <c r="H40">
        <v>45</v>
      </c>
      <c r="I40">
        <v>80</v>
      </c>
      <c r="J40" s="13"/>
      <c r="K40" s="13"/>
      <c r="L40" s="13"/>
      <c r="M40" s="13"/>
      <c r="N40" s="13"/>
      <c r="O40" s="13"/>
      <c r="P40" s="13"/>
      <c r="Q40" s="13"/>
      <c r="R40" s="13"/>
      <c r="S40" s="13"/>
      <c r="T40" s="13"/>
      <c r="U40" s="13"/>
      <c r="V40" s="13"/>
      <c r="W40" s="13"/>
      <c r="X40" s="13"/>
    </row>
    <row r="41" spans="1:24" ht="15.75" customHeight="1">
      <c r="A41" s="13"/>
      <c r="B41" s="28" t="s">
        <v>238</v>
      </c>
      <c r="C41">
        <v>84</v>
      </c>
      <c r="D41">
        <v>84</v>
      </c>
      <c r="E41">
        <v>85</v>
      </c>
      <c r="F41">
        <v>84</v>
      </c>
      <c r="G41">
        <v>84</v>
      </c>
      <c r="H41">
        <v>64</v>
      </c>
      <c r="I41">
        <v>77</v>
      </c>
      <c r="J41" s="13"/>
      <c r="K41" s="13"/>
      <c r="L41" s="13"/>
      <c r="M41" s="13"/>
      <c r="N41" s="13"/>
      <c r="O41" s="13"/>
      <c r="P41" s="13"/>
      <c r="Q41" s="13"/>
      <c r="R41" s="13"/>
      <c r="S41" s="13"/>
      <c r="T41" s="13"/>
      <c r="U41" s="13"/>
      <c r="V41" s="13"/>
      <c r="W41" s="13"/>
      <c r="X41" s="13"/>
    </row>
    <row r="42" spans="1:24" ht="15.75" customHeight="1">
      <c r="A42" s="13"/>
      <c r="B42" s="28" t="s">
        <v>239</v>
      </c>
      <c r="C42">
        <v>89</v>
      </c>
      <c r="D42">
        <v>87</v>
      </c>
      <c r="E42">
        <v>79</v>
      </c>
      <c r="F42">
        <v>94</v>
      </c>
      <c r="G42">
        <v>89</v>
      </c>
      <c r="H42">
        <v>58</v>
      </c>
      <c r="I42">
        <v>79</v>
      </c>
      <c r="J42" s="13"/>
      <c r="K42" s="13"/>
      <c r="L42" s="13"/>
      <c r="M42" s="13"/>
      <c r="N42" s="13"/>
      <c r="O42" s="13"/>
      <c r="P42" s="13"/>
      <c r="Q42" s="13"/>
      <c r="R42" s="13"/>
      <c r="S42" s="13"/>
      <c r="T42" s="13"/>
      <c r="U42" s="13"/>
      <c r="V42" s="13"/>
      <c r="W42" s="13"/>
      <c r="X42" s="13"/>
    </row>
    <row r="43" spans="1:24" ht="15.75" customHeight="1">
      <c r="A43" s="13"/>
      <c r="B43" s="28" t="s">
        <v>240</v>
      </c>
      <c r="C43">
        <v>76</v>
      </c>
      <c r="D43">
        <v>85</v>
      </c>
      <c r="E43">
        <v>82</v>
      </c>
      <c r="F43">
        <v>93</v>
      </c>
      <c r="G43">
        <v>94</v>
      </c>
      <c r="H43">
        <v>75</v>
      </c>
      <c r="I43">
        <v>91</v>
      </c>
      <c r="J43" s="13"/>
      <c r="K43" s="13"/>
      <c r="L43" s="13"/>
      <c r="M43" s="13"/>
      <c r="N43" s="13"/>
      <c r="O43" s="13"/>
      <c r="P43" s="13"/>
      <c r="Q43" s="13"/>
      <c r="R43" s="13"/>
      <c r="S43" s="13"/>
      <c r="T43" s="13"/>
      <c r="U43" s="13"/>
      <c r="V43" s="13"/>
      <c r="W43" s="13"/>
      <c r="X43" s="13"/>
    </row>
    <row r="44" spans="1:24" ht="15.75" customHeight="1">
      <c r="A44" s="13"/>
      <c r="B44" s="28" t="s">
        <v>241</v>
      </c>
      <c r="C44">
        <v>87</v>
      </c>
      <c r="D44">
        <v>87</v>
      </c>
      <c r="E44">
        <v>75</v>
      </c>
      <c r="F44">
        <v>95</v>
      </c>
      <c r="G44">
        <v>85</v>
      </c>
      <c r="H44">
        <v>89</v>
      </c>
      <c r="I44">
        <v>81</v>
      </c>
      <c r="J44" s="13"/>
      <c r="K44" s="13"/>
      <c r="L44" s="13"/>
      <c r="M44" s="13"/>
      <c r="N44" s="13"/>
      <c r="O44" s="13"/>
      <c r="P44" s="13"/>
      <c r="Q44" s="13"/>
      <c r="R44" s="13"/>
      <c r="S44" s="13"/>
      <c r="T44" s="13"/>
      <c r="U44" s="13"/>
      <c r="V44" s="13"/>
      <c r="W44" s="13"/>
      <c r="X44" s="13"/>
    </row>
    <row r="45" spans="1:24" ht="15.75" customHeight="1">
      <c r="A45" s="13"/>
      <c r="B45" s="28" t="s">
        <v>242</v>
      </c>
      <c r="C45">
        <v>94</v>
      </c>
      <c r="D45">
        <v>75</v>
      </c>
      <c r="E45">
        <v>71</v>
      </c>
      <c r="F45">
        <v>77</v>
      </c>
      <c r="G45">
        <v>78</v>
      </c>
      <c r="H45">
        <v>72</v>
      </c>
      <c r="I45">
        <v>74</v>
      </c>
      <c r="J45" s="13"/>
      <c r="K45" s="13"/>
      <c r="L45" s="13"/>
      <c r="M45" s="13"/>
      <c r="N45" s="13"/>
      <c r="O45" s="13"/>
      <c r="P45" s="13"/>
      <c r="Q45" s="13"/>
      <c r="R45" s="13"/>
      <c r="S45" s="13"/>
      <c r="T45" s="13"/>
      <c r="U45" s="13"/>
      <c r="V45" s="13"/>
      <c r="W45" s="13"/>
      <c r="X45" s="13"/>
    </row>
    <row r="46" spans="1:2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P3"/>
    <mergeCell ref="B4:P4"/>
  </mergeCells>
  <conditionalFormatting pivot="1" sqref="C22:I45">
    <cfRule type="colorScale" priority="1">
      <colorScale>
        <cfvo type="min"/>
        <cfvo type="percentile" val="50"/>
        <cfvo type="max"/>
        <color rgb="FFF8696B"/>
        <color rgb="FFFCFCFF"/>
        <color rgb="FF5A8AC6"/>
      </colorScale>
    </cfRule>
  </conditionalFormatting>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showGridLines="0" topLeftCell="C2" workbookViewId="0">
      <selection activeCell="C10" sqref="C10"/>
    </sheetView>
  </sheetViews>
  <sheetFormatPr defaultColWidth="14.453125" defaultRowHeight="15" customHeight="1"/>
  <cols>
    <col min="1" max="1" width="3" customWidth="1"/>
    <col min="2" max="2" width="12.36328125" bestFit="1" customWidth="1"/>
    <col min="3" max="3" width="19.08984375" bestFit="1" customWidth="1"/>
    <col min="4" max="4" width="18.54296875" bestFit="1" customWidth="1"/>
    <col min="5" max="16" width="9.08984375" customWidth="1"/>
    <col min="17" max="17" width="8.90625" hidden="1" customWidth="1"/>
    <col min="18" max="24" width="10.6328125" hidden="1" customWidth="1"/>
    <col min="25"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13"/>
      <c r="R2" s="13"/>
      <c r="S2" s="13"/>
      <c r="T2" s="13"/>
      <c r="U2" s="13"/>
      <c r="V2" s="13"/>
      <c r="W2" s="13"/>
      <c r="X2" s="13"/>
    </row>
    <row r="3" spans="1:24" ht="14.5">
      <c r="A3" s="13"/>
      <c r="B3" s="45" t="s">
        <v>4</v>
      </c>
      <c r="C3" s="38"/>
      <c r="D3" s="38"/>
      <c r="E3" s="38"/>
      <c r="F3" s="38"/>
      <c r="G3" s="38"/>
      <c r="H3" s="38"/>
      <c r="I3" s="38"/>
      <c r="J3" s="38"/>
      <c r="K3" s="38"/>
      <c r="L3" s="38"/>
      <c r="M3" s="38"/>
      <c r="N3" s="38"/>
      <c r="O3" s="38"/>
      <c r="P3" s="38"/>
      <c r="Q3" s="13"/>
      <c r="R3" s="13"/>
      <c r="S3" s="13"/>
      <c r="T3" s="13"/>
      <c r="U3" s="13"/>
      <c r="V3" s="13"/>
      <c r="W3" s="13"/>
      <c r="X3" s="13"/>
    </row>
    <row r="4" spans="1:24" ht="14.5">
      <c r="A4" s="13"/>
      <c r="B4" s="21"/>
      <c r="C4" s="13"/>
      <c r="D4" s="13"/>
      <c r="E4" s="13"/>
      <c r="F4" s="13"/>
      <c r="G4" s="13"/>
      <c r="H4" s="13"/>
      <c r="I4" s="13"/>
      <c r="J4" s="13"/>
      <c r="K4" s="13"/>
      <c r="L4" s="13"/>
      <c r="M4" s="13"/>
      <c r="N4" s="13"/>
      <c r="O4" s="13"/>
      <c r="P4" s="13"/>
      <c r="Q4" s="13"/>
      <c r="R4" s="13"/>
      <c r="S4" s="13"/>
      <c r="T4" s="13"/>
      <c r="U4" s="13"/>
      <c r="V4" s="13"/>
      <c r="W4" s="13"/>
      <c r="X4" s="13"/>
    </row>
    <row r="5" spans="1:24" ht="14.5">
      <c r="A5" s="13"/>
      <c r="B5" s="13"/>
      <c r="C5" s="13"/>
      <c r="D5" s="13"/>
      <c r="E5" s="13"/>
      <c r="F5" s="13"/>
      <c r="G5" s="13"/>
      <c r="H5" s="13"/>
      <c r="I5" s="13"/>
      <c r="J5" s="13"/>
      <c r="K5" s="13"/>
      <c r="L5" s="13"/>
      <c r="M5" s="13"/>
      <c r="N5" s="13"/>
      <c r="O5" s="13"/>
      <c r="P5" s="13"/>
      <c r="Q5" s="13"/>
      <c r="R5" s="13"/>
      <c r="S5" s="13"/>
      <c r="T5" s="13"/>
      <c r="U5" s="13"/>
      <c r="V5" s="13"/>
      <c r="W5" s="13"/>
      <c r="X5" s="13"/>
    </row>
    <row r="6" spans="1:24" ht="14.5">
      <c r="A6" s="13"/>
      <c r="B6" s="27" t="s">
        <v>218</v>
      </c>
      <c r="C6" t="s">
        <v>256</v>
      </c>
      <c r="D6" t="s">
        <v>271</v>
      </c>
      <c r="E6" s="13"/>
      <c r="F6" s="13"/>
      <c r="G6" s="13"/>
      <c r="H6" s="13"/>
      <c r="I6" s="13"/>
      <c r="J6" s="13"/>
      <c r="K6" s="13"/>
      <c r="L6" s="13"/>
      <c r="M6" s="13"/>
      <c r="N6" s="13"/>
      <c r="O6" s="13"/>
      <c r="P6" s="13"/>
      <c r="Q6" s="13"/>
      <c r="R6" s="13"/>
      <c r="S6" s="13"/>
      <c r="T6" s="13"/>
      <c r="U6" s="13"/>
      <c r="V6" s="13"/>
      <c r="W6" s="13"/>
      <c r="X6" s="13"/>
    </row>
    <row r="7" spans="1:24" ht="14.5">
      <c r="A7" s="13"/>
      <c r="B7" s="28" t="s">
        <v>245</v>
      </c>
      <c r="C7">
        <v>274</v>
      </c>
      <c r="D7">
        <v>1167</v>
      </c>
      <c r="E7" s="13"/>
      <c r="F7" s="13"/>
      <c r="G7" s="13"/>
      <c r="H7" s="13"/>
      <c r="I7" s="13"/>
      <c r="J7" s="13"/>
      <c r="K7" s="13"/>
      <c r="L7" s="13"/>
      <c r="M7" s="13"/>
      <c r="N7" s="13"/>
      <c r="O7" s="13"/>
      <c r="P7" s="13"/>
      <c r="Q7" s="13"/>
      <c r="R7" s="13"/>
      <c r="S7" s="13"/>
      <c r="T7" s="13"/>
      <c r="U7" s="13"/>
      <c r="V7" s="13"/>
      <c r="W7" s="13"/>
      <c r="X7" s="13"/>
    </row>
    <row r="8" spans="1:24" ht="14.5">
      <c r="A8" s="13"/>
      <c r="B8" s="28" t="s">
        <v>246</v>
      </c>
      <c r="C8">
        <v>174</v>
      </c>
      <c r="D8">
        <v>1221</v>
      </c>
      <c r="E8" s="13"/>
      <c r="F8" s="13"/>
      <c r="G8" s="13"/>
      <c r="H8" s="13"/>
      <c r="I8" s="13"/>
      <c r="J8" s="13"/>
      <c r="K8" s="13"/>
      <c r="L8" s="13"/>
      <c r="M8" s="13"/>
      <c r="N8" s="13"/>
      <c r="O8" s="13"/>
      <c r="P8" s="13"/>
      <c r="Q8" s="13"/>
      <c r="R8" s="13"/>
      <c r="S8" s="13"/>
      <c r="T8" s="13"/>
      <c r="U8" s="13"/>
      <c r="V8" s="13"/>
      <c r="W8" s="13"/>
      <c r="X8" s="13"/>
    </row>
    <row r="9" spans="1:24" ht="14.5">
      <c r="A9" s="13"/>
      <c r="B9" s="28" t="s">
        <v>247</v>
      </c>
      <c r="C9">
        <v>259</v>
      </c>
      <c r="D9">
        <v>1477</v>
      </c>
      <c r="E9" s="13"/>
      <c r="F9" s="13"/>
      <c r="G9" s="13"/>
      <c r="H9" s="13"/>
      <c r="I9" s="13"/>
      <c r="J9" s="13"/>
      <c r="K9" s="13"/>
      <c r="L9" s="13"/>
      <c r="M9" s="13"/>
      <c r="N9" s="13"/>
      <c r="O9" s="13"/>
      <c r="P9" s="13"/>
      <c r="Q9" s="13"/>
      <c r="R9" s="13"/>
      <c r="S9" s="13"/>
      <c r="T9" s="13"/>
      <c r="U9" s="13"/>
      <c r="V9" s="13"/>
      <c r="W9" s="13"/>
      <c r="X9" s="13"/>
    </row>
    <row r="10" spans="1:24" ht="14.5">
      <c r="A10" s="13"/>
      <c r="B10" s="28" t="s">
        <v>248</v>
      </c>
      <c r="C10">
        <v>269</v>
      </c>
      <c r="D10">
        <v>1454</v>
      </c>
      <c r="E10" s="13"/>
      <c r="F10" s="13"/>
      <c r="G10" s="13"/>
      <c r="H10" s="13"/>
      <c r="I10" s="13"/>
      <c r="J10" s="13"/>
      <c r="K10" s="13"/>
      <c r="L10" s="13"/>
      <c r="M10" s="13"/>
      <c r="N10" s="13"/>
      <c r="O10" s="13"/>
      <c r="P10" s="13"/>
      <c r="Q10" s="13"/>
      <c r="R10" s="13"/>
      <c r="S10" s="13"/>
      <c r="T10" s="13"/>
      <c r="U10" s="13"/>
      <c r="V10" s="13"/>
      <c r="W10" s="13"/>
      <c r="X10" s="13"/>
    </row>
    <row r="11" spans="1:24" ht="14.5">
      <c r="A11" s="13"/>
      <c r="B11" s="28" t="s">
        <v>249</v>
      </c>
      <c r="C11">
        <v>249</v>
      </c>
      <c r="D11">
        <v>1562</v>
      </c>
      <c r="E11" s="13"/>
      <c r="F11" s="13"/>
      <c r="G11" s="13"/>
      <c r="H11" s="13"/>
      <c r="I11" s="13"/>
      <c r="J11" s="13"/>
      <c r="K11" s="13"/>
      <c r="L11" s="13"/>
      <c r="M11" s="13"/>
      <c r="N11" s="13"/>
      <c r="O11" s="13"/>
      <c r="P11" s="13"/>
      <c r="Q11" s="13"/>
      <c r="R11" s="13"/>
      <c r="S11" s="13"/>
      <c r="T11" s="13"/>
      <c r="U11" s="13"/>
      <c r="V11" s="13"/>
      <c r="W11" s="13"/>
      <c r="X11" s="13"/>
    </row>
    <row r="12" spans="1:24" ht="14.5">
      <c r="A12" s="13"/>
      <c r="B12" s="28" t="s">
        <v>250</v>
      </c>
      <c r="C12">
        <v>375</v>
      </c>
      <c r="D12">
        <v>1300</v>
      </c>
      <c r="E12" s="13"/>
      <c r="F12" s="13"/>
      <c r="G12" s="13"/>
      <c r="H12" s="13"/>
      <c r="I12" s="13"/>
      <c r="J12" s="13"/>
      <c r="K12" s="13"/>
      <c r="L12" s="13"/>
      <c r="M12" s="13"/>
      <c r="N12" s="13"/>
      <c r="O12" s="13"/>
      <c r="P12" s="13"/>
      <c r="Q12" s="13"/>
      <c r="R12" s="13"/>
      <c r="S12" s="13"/>
      <c r="T12" s="13"/>
      <c r="U12" s="13"/>
      <c r="V12" s="13"/>
      <c r="W12" s="13"/>
      <c r="X12" s="13"/>
    </row>
    <row r="13" spans="1:24" ht="14.5">
      <c r="A13" s="13"/>
      <c r="B13" s="28" t="s">
        <v>251</v>
      </c>
      <c r="C13">
        <v>325</v>
      </c>
      <c r="D13">
        <v>1265</v>
      </c>
      <c r="E13" s="13"/>
      <c r="F13" s="13"/>
      <c r="G13" s="13"/>
      <c r="H13" s="13"/>
      <c r="I13" s="13"/>
      <c r="J13" s="13"/>
      <c r="K13" s="13"/>
      <c r="L13" s="13"/>
      <c r="M13" s="13"/>
      <c r="N13" s="13"/>
      <c r="O13" s="13"/>
      <c r="P13" s="13"/>
      <c r="Q13" s="13"/>
      <c r="R13" s="13"/>
      <c r="S13" s="13"/>
      <c r="T13" s="13"/>
      <c r="U13" s="13"/>
      <c r="V13" s="13"/>
      <c r="W13" s="13"/>
      <c r="X13" s="13"/>
    </row>
    <row r="14" spans="1:24" ht="14.5">
      <c r="A14" s="13"/>
      <c r="B14" s="28" t="s">
        <v>255</v>
      </c>
      <c r="E14" s="13"/>
      <c r="F14" s="13"/>
      <c r="G14" s="13"/>
      <c r="H14" s="13"/>
      <c r="I14" s="13"/>
      <c r="J14" s="13"/>
      <c r="K14" s="13"/>
      <c r="L14" s="13"/>
      <c r="M14" s="13"/>
      <c r="N14" s="13"/>
      <c r="O14" s="13"/>
      <c r="P14" s="13"/>
      <c r="Q14" s="13"/>
      <c r="R14" s="13"/>
      <c r="S14" s="13"/>
      <c r="T14" s="13"/>
      <c r="U14" s="13"/>
      <c r="V14" s="13"/>
      <c r="W14" s="13"/>
      <c r="X14" s="13"/>
    </row>
    <row r="15" spans="1:24" ht="14.5">
      <c r="A15" s="13"/>
      <c r="E15" s="13"/>
      <c r="F15" s="13"/>
      <c r="G15" s="13"/>
      <c r="H15" s="13"/>
      <c r="I15" s="13"/>
      <c r="J15" s="13"/>
      <c r="K15" s="13"/>
      <c r="L15" s="13"/>
      <c r="M15" s="13"/>
      <c r="N15" s="13"/>
      <c r="O15" s="13"/>
      <c r="P15" s="13"/>
      <c r="Q15" s="13"/>
      <c r="R15" s="13"/>
      <c r="S15" s="13"/>
      <c r="T15" s="13"/>
      <c r="U15" s="13"/>
      <c r="V15" s="13"/>
      <c r="W15" s="13"/>
      <c r="X15" s="13"/>
    </row>
    <row r="16" spans="1:24" ht="14.5">
      <c r="A16" s="13"/>
      <c r="E16" s="13"/>
      <c r="F16" s="13"/>
      <c r="G16" s="13"/>
      <c r="H16" s="13"/>
      <c r="I16" s="13"/>
      <c r="J16" s="13"/>
      <c r="K16" s="13"/>
      <c r="L16" s="13"/>
      <c r="M16" s="13"/>
      <c r="N16" s="13"/>
      <c r="O16" s="13"/>
      <c r="P16" s="13"/>
      <c r="Q16" s="13"/>
      <c r="R16" s="13"/>
      <c r="S16" s="13"/>
      <c r="T16" s="13"/>
      <c r="U16" s="13"/>
      <c r="V16" s="13"/>
      <c r="W16" s="13"/>
      <c r="X16" s="13"/>
    </row>
    <row r="17" spans="1:24" ht="14.5">
      <c r="A17" s="13"/>
      <c r="E17" s="13"/>
      <c r="F17" s="13"/>
      <c r="G17" s="13"/>
      <c r="H17" s="13"/>
      <c r="I17" s="13"/>
      <c r="J17" s="13"/>
      <c r="K17" s="13"/>
      <c r="L17" s="13"/>
      <c r="M17" s="13"/>
      <c r="N17" s="13"/>
      <c r="O17" s="13"/>
      <c r="P17" s="13"/>
      <c r="Q17" s="13"/>
      <c r="R17" s="13"/>
      <c r="S17" s="13"/>
      <c r="T17" s="13"/>
      <c r="U17" s="13"/>
      <c r="V17" s="13"/>
      <c r="W17" s="13"/>
      <c r="X17" s="13"/>
    </row>
    <row r="18" spans="1:24" ht="14.5">
      <c r="A18" s="13"/>
      <c r="E18" s="13"/>
      <c r="F18" s="13"/>
      <c r="G18" s="13"/>
      <c r="H18" s="13"/>
      <c r="I18" s="13"/>
      <c r="J18" s="13"/>
      <c r="K18" s="13"/>
      <c r="L18" s="13"/>
      <c r="M18" s="13"/>
      <c r="N18" s="13"/>
      <c r="O18" s="13"/>
      <c r="P18" s="13"/>
      <c r="Q18" s="13"/>
      <c r="R18" s="13"/>
      <c r="S18" s="13"/>
      <c r="T18" s="13"/>
      <c r="U18" s="13"/>
      <c r="V18" s="13"/>
      <c r="W18" s="13"/>
      <c r="X18" s="13"/>
    </row>
    <row r="19" spans="1:24" ht="14.5">
      <c r="A19" s="13"/>
      <c r="E19" s="13"/>
      <c r="F19" s="13"/>
      <c r="G19" s="13"/>
      <c r="H19" s="13"/>
      <c r="I19" s="13"/>
      <c r="J19" s="13"/>
      <c r="K19" s="13"/>
      <c r="L19" s="13"/>
      <c r="M19" s="13"/>
      <c r="N19" s="13"/>
      <c r="O19" s="13"/>
      <c r="P19" s="13"/>
      <c r="Q19" s="13"/>
      <c r="R19" s="13"/>
      <c r="S19" s="13"/>
      <c r="T19" s="13"/>
      <c r="U19" s="13"/>
      <c r="V19" s="13"/>
      <c r="W19" s="13"/>
      <c r="X19" s="13"/>
    </row>
    <row r="20" spans="1:24" ht="14.5">
      <c r="A20" s="13"/>
      <c r="E20" s="13"/>
      <c r="F20" s="13"/>
      <c r="G20" s="13"/>
      <c r="H20" s="13"/>
      <c r="I20" s="13"/>
      <c r="J20" s="13"/>
      <c r="K20" s="13"/>
      <c r="L20" s="13"/>
      <c r="M20" s="13"/>
      <c r="N20" s="13"/>
      <c r="O20" s="13"/>
      <c r="P20" s="13"/>
      <c r="Q20" s="13"/>
      <c r="R20" s="13"/>
      <c r="S20" s="13"/>
      <c r="T20" s="13"/>
      <c r="U20" s="13"/>
      <c r="V20" s="13"/>
      <c r="W20" s="13"/>
      <c r="X20" s="13"/>
    </row>
    <row r="21" spans="1:24" ht="15.75" customHeight="1">
      <c r="A21" s="13"/>
      <c r="E21" s="13"/>
      <c r="F21" s="13"/>
      <c r="G21" s="13"/>
      <c r="H21" s="13"/>
      <c r="I21" s="13"/>
      <c r="J21" s="13"/>
      <c r="K21" s="13"/>
      <c r="L21" s="13"/>
      <c r="M21" s="13"/>
      <c r="N21" s="13"/>
      <c r="O21" s="13"/>
      <c r="P21" s="13"/>
      <c r="Q21" s="13"/>
      <c r="R21" s="13"/>
      <c r="S21" s="13"/>
      <c r="T21" s="13"/>
      <c r="U21" s="13"/>
      <c r="V21" s="13"/>
      <c r="W21" s="13"/>
      <c r="X21" s="13"/>
    </row>
    <row r="22" spans="1:24" ht="15.75" customHeight="1">
      <c r="A22" s="13"/>
      <c r="E22" s="13"/>
      <c r="F22" s="13"/>
      <c r="G22" s="13"/>
      <c r="H22" s="13"/>
      <c r="I22" s="13"/>
      <c r="J22" s="13"/>
      <c r="K22" s="13"/>
      <c r="L22" s="13"/>
      <c r="M22" s="13"/>
      <c r="N22" s="13"/>
      <c r="O22" s="13"/>
      <c r="P22" s="13"/>
      <c r="Q22" s="13"/>
      <c r="R22" s="13"/>
      <c r="S22" s="13"/>
      <c r="T22" s="13"/>
      <c r="U22" s="13"/>
      <c r="V22" s="13"/>
      <c r="W22" s="13"/>
      <c r="X22" s="13"/>
    </row>
    <row r="23" spans="1:24" ht="15.75" customHeight="1">
      <c r="A23" s="13"/>
      <c r="E23" s="13"/>
      <c r="F23" s="13"/>
      <c r="G23" s="13"/>
      <c r="H23" s="13"/>
      <c r="I23" s="13"/>
      <c r="J23" s="13"/>
      <c r="K23" s="13"/>
      <c r="L23" s="13"/>
      <c r="M23" s="13"/>
      <c r="N23" s="13"/>
      <c r="O23" s="13"/>
      <c r="P23" s="13"/>
      <c r="Q23" s="13"/>
      <c r="R23" s="13"/>
      <c r="S23" s="13"/>
      <c r="T23" s="13"/>
      <c r="U23" s="13"/>
      <c r="V23" s="13"/>
      <c r="W23" s="13"/>
      <c r="X23" s="13"/>
    </row>
    <row r="24" spans="1: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row>
    <row r="25" spans="1:24"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row>
    <row r="26" spans="1:24"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row>
    <row r="27" spans="1:24"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row>
    <row r="28" spans="1:24"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row>
    <row r="29" spans="1:24"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row>
    <row r="30" spans="1:24"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row>
    <row r="31" spans="1:24"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row>
    <row r="32" spans="1:24" ht="15.75" customHeight="1">
      <c r="A32" s="13"/>
      <c r="B32" s="13"/>
      <c r="C32" s="13"/>
      <c r="D32" s="13"/>
      <c r="E32" s="13"/>
      <c r="F32" s="13"/>
      <c r="G32" s="13"/>
      <c r="H32" s="22"/>
      <c r="I32" s="23"/>
      <c r="J32" s="13"/>
      <c r="K32" s="13"/>
      <c r="L32" s="24"/>
      <c r="M32" s="13"/>
      <c r="N32" s="13"/>
      <c r="O32" s="13"/>
      <c r="P32" s="13"/>
      <c r="Q32" s="13"/>
      <c r="R32" s="13"/>
      <c r="S32" s="13"/>
      <c r="T32" s="13"/>
      <c r="U32" s="13"/>
      <c r="V32" s="13"/>
      <c r="W32" s="13"/>
      <c r="X32" s="13"/>
    </row>
    <row r="33" spans="1:24" ht="15.75" customHeight="1">
      <c r="A33" s="13"/>
      <c r="B33" s="13"/>
      <c r="C33" s="13"/>
      <c r="D33" s="13"/>
      <c r="E33" s="13"/>
      <c r="F33" s="13"/>
      <c r="G33" s="13"/>
      <c r="H33" s="22"/>
      <c r="I33" s="23"/>
      <c r="J33" s="13"/>
      <c r="K33" s="13"/>
      <c r="L33" s="24"/>
      <c r="M33" s="13"/>
      <c r="N33" s="13"/>
      <c r="O33" s="13"/>
      <c r="P33" s="13"/>
      <c r="Q33" s="13"/>
      <c r="R33" s="13"/>
      <c r="S33" s="13"/>
      <c r="T33" s="13"/>
      <c r="U33" s="13"/>
      <c r="V33" s="13"/>
      <c r="W33" s="13"/>
      <c r="X33" s="13"/>
    </row>
    <row r="34" spans="1:24" ht="15.75" customHeight="1">
      <c r="A34" s="13"/>
      <c r="B34" s="13"/>
      <c r="C34" s="13"/>
      <c r="D34" s="13"/>
      <c r="E34" s="13"/>
      <c r="F34" s="13"/>
      <c r="G34" s="13"/>
      <c r="H34" s="22"/>
      <c r="I34" s="23"/>
      <c r="J34" s="13"/>
      <c r="K34" s="13"/>
      <c r="L34" s="24"/>
      <c r="M34" s="13"/>
      <c r="N34" s="13"/>
      <c r="O34" s="13"/>
      <c r="P34" s="13"/>
      <c r="Q34" s="13"/>
      <c r="R34" s="13"/>
      <c r="S34" s="13"/>
      <c r="T34" s="13"/>
      <c r="U34" s="13"/>
      <c r="V34" s="13"/>
      <c r="W34" s="13"/>
      <c r="X34" s="13"/>
    </row>
    <row r="35" spans="1:24" ht="15.75" customHeight="1">
      <c r="A35" s="13"/>
      <c r="B35" s="13"/>
      <c r="C35" s="13"/>
      <c r="D35" s="13"/>
      <c r="E35" s="13"/>
      <c r="F35" s="13"/>
      <c r="G35" s="13"/>
      <c r="H35" s="22"/>
      <c r="I35" s="23"/>
      <c r="J35" s="13"/>
      <c r="K35" s="13"/>
      <c r="L35" s="24"/>
      <c r="M35" s="13"/>
      <c r="N35" s="13"/>
      <c r="O35" s="13"/>
      <c r="P35" s="13"/>
      <c r="Q35" s="13"/>
      <c r="R35" s="13"/>
      <c r="S35" s="13"/>
      <c r="T35" s="13"/>
      <c r="U35" s="13"/>
      <c r="V35" s="13"/>
      <c r="W35" s="13"/>
      <c r="X35" s="13"/>
    </row>
    <row r="36" spans="1:24" ht="15.75" customHeight="1">
      <c r="A36" s="13"/>
      <c r="B36" s="13"/>
      <c r="C36" s="13"/>
      <c r="D36" s="13"/>
      <c r="E36" s="13"/>
      <c r="F36" s="13"/>
      <c r="G36" s="13"/>
      <c r="H36" s="22"/>
      <c r="I36" s="23"/>
      <c r="J36" s="13"/>
      <c r="K36" s="13"/>
      <c r="L36" s="24"/>
      <c r="M36" s="13"/>
      <c r="N36" s="13"/>
      <c r="O36" s="13"/>
      <c r="P36" s="13"/>
      <c r="Q36" s="13"/>
      <c r="R36" s="13"/>
      <c r="S36" s="13"/>
      <c r="T36" s="13"/>
      <c r="U36" s="13"/>
      <c r="V36" s="13"/>
      <c r="W36" s="13"/>
      <c r="X36" s="13"/>
    </row>
    <row r="37" spans="1:24" ht="15.75" customHeight="1">
      <c r="A37" s="13"/>
      <c r="B37" s="13"/>
      <c r="C37" s="13"/>
      <c r="D37" s="13"/>
      <c r="E37" s="13"/>
      <c r="F37" s="13"/>
      <c r="G37" s="13"/>
      <c r="H37" s="22"/>
      <c r="I37" s="23"/>
      <c r="J37" s="13"/>
      <c r="K37" s="13"/>
      <c r="L37" s="24"/>
      <c r="M37" s="13"/>
      <c r="N37" s="13"/>
      <c r="O37" s="13"/>
      <c r="P37" s="13"/>
      <c r="Q37" s="13"/>
      <c r="R37" s="13"/>
      <c r="S37" s="13"/>
      <c r="T37" s="13"/>
      <c r="U37" s="13"/>
      <c r="V37" s="13"/>
      <c r="W37" s="13"/>
      <c r="X37" s="13"/>
    </row>
    <row r="38" spans="1:24" ht="15.75" customHeight="1">
      <c r="A38" s="13"/>
      <c r="B38" s="13"/>
      <c r="C38" s="13"/>
      <c r="D38" s="13"/>
      <c r="E38" s="13"/>
      <c r="F38" s="13"/>
      <c r="G38" s="13"/>
      <c r="H38" s="22"/>
      <c r="I38" s="23"/>
      <c r="J38" s="13"/>
      <c r="K38" s="13"/>
      <c r="L38" s="24"/>
      <c r="M38" s="13"/>
      <c r="N38" s="13"/>
      <c r="O38" s="13"/>
      <c r="P38" s="13"/>
      <c r="Q38" s="13"/>
      <c r="R38" s="13"/>
      <c r="S38" s="13"/>
      <c r="T38" s="13"/>
      <c r="U38" s="13"/>
      <c r="V38" s="13"/>
      <c r="W38" s="13"/>
      <c r="X38" s="13"/>
    </row>
    <row r="39" spans="1:24" ht="15.75" customHeight="1">
      <c r="A39" s="13"/>
      <c r="B39" s="13"/>
      <c r="C39" s="13"/>
      <c r="D39" s="13"/>
      <c r="E39" s="13"/>
      <c r="F39" s="13"/>
      <c r="G39" s="13"/>
      <c r="H39" s="22"/>
      <c r="I39" s="23"/>
      <c r="J39" s="13"/>
      <c r="K39" s="13"/>
      <c r="L39" s="24"/>
      <c r="M39" s="13"/>
      <c r="N39" s="13"/>
      <c r="O39" s="13"/>
      <c r="P39" s="13"/>
      <c r="Q39" s="13"/>
      <c r="R39" s="13"/>
      <c r="S39" s="13"/>
      <c r="T39" s="13"/>
      <c r="U39" s="13"/>
      <c r="V39" s="13"/>
      <c r="W39" s="13"/>
      <c r="X39" s="13"/>
    </row>
    <row r="40" spans="1:24" ht="15.75" customHeight="1">
      <c r="A40" s="13"/>
      <c r="B40" s="13"/>
      <c r="C40" s="13"/>
      <c r="D40" s="13"/>
      <c r="E40" s="13"/>
      <c r="F40" s="13"/>
      <c r="G40" s="13"/>
      <c r="H40" s="22"/>
      <c r="I40" s="23"/>
      <c r="J40" s="13"/>
      <c r="K40" s="13"/>
      <c r="L40" s="24"/>
      <c r="M40" s="13"/>
      <c r="N40" s="13"/>
      <c r="O40" s="13"/>
      <c r="P40" s="13"/>
      <c r="Q40" s="13"/>
      <c r="R40" s="13"/>
      <c r="S40" s="13"/>
      <c r="T40" s="13"/>
      <c r="U40" s="13"/>
      <c r="V40" s="13"/>
      <c r="W40" s="13"/>
      <c r="X40" s="13"/>
    </row>
    <row r="41" spans="1:24" ht="15.75" customHeight="1">
      <c r="A41" s="13"/>
      <c r="B41" s="13"/>
      <c r="C41" s="13"/>
      <c r="D41" s="13"/>
      <c r="E41" s="13"/>
      <c r="F41" s="13"/>
      <c r="G41" s="13"/>
      <c r="H41" s="22"/>
      <c r="I41" s="23"/>
      <c r="J41" s="13"/>
      <c r="K41" s="13"/>
      <c r="L41" s="24"/>
      <c r="M41" s="13"/>
      <c r="N41" s="13"/>
      <c r="O41" s="13"/>
      <c r="P41" s="13"/>
      <c r="Q41" s="13"/>
      <c r="R41" s="13"/>
      <c r="S41" s="13"/>
      <c r="T41" s="13"/>
      <c r="U41" s="13"/>
      <c r="V41" s="13"/>
      <c r="W41" s="13"/>
      <c r="X41" s="13"/>
    </row>
    <row r="42" spans="1:24" ht="15.75" customHeight="1">
      <c r="A42" s="13"/>
      <c r="B42" s="13"/>
      <c r="C42" s="13"/>
      <c r="D42" s="13"/>
      <c r="E42" s="13"/>
      <c r="F42" s="13"/>
      <c r="G42" s="13"/>
      <c r="H42" s="22"/>
      <c r="I42" s="23"/>
      <c r="J42" s="13"/>
      <c r="K42" s="13"/>
      <c r="L42" s="24"/>
      <c r="M42" s="21"/>
      <c r="N42" s="13"/>
      <c r="O42" s="13"/>
      <c r="P42" s="13"/>
      <c r="Q42" s="13"/>
      <c r="R42" s="13"/>
      <c r="S42" s="13"/>
      <c r="T42" s="13"/>
      <c r="U42" s="13"/>
      <c r="V42" s="13"/>
      <c r="W42" s="13"/>
      <c r="X42" s="13"/>
    </row>
    <row r="43" spans="1:24" ht="15.75" customHeight="1">
      <c r="A43" s="13"/>
      <c r="B43" s="13"/>
      <c r="C43" s="13"/>
      <c r="D43" s="13"/>
      <c r="E43" s="13"/>
      <c r="F43" s="13"/>
      <c r="G43" s="13"/>
      <c r="H43" s="22"/>
      <c r="I43" s="23"/>
      <c r="J43" s="13"/>
      <c r="K43" s="13"/>
      <c r="L43" s="13"/>
      <c r="M43" s="13"/>
      <c r="N43" s="13"/>
      <c r="O43" s="13"/>
      <c r="P43" s="13"/>
      <c r="Q43" s="13"/>
      <c r="R43" s="13"/>
      <c r="S43" s="13"/>
      <c r="T43" s="13"/>
      <c r="U43" s="13"/>
      <c r="V43" s="13"/>
      <c r="W43" s="13"/>
      <c r="X43" s="13"/>
    </row>
    <row r="44" spans="1:24" ht="15.75" customHeight="1">
      <c r="A44" s="13"/>
      <c r="B44" s="13"/>
      <c r="C44" s="13"/>
      <c r="D44" s="13"/>
      <c r="E44" s="13"/>
      <c r="F44" s="13"/>
      <c r="G44" s="13"/>
      <c r="H44" s="22"/>
      <c r="I44" s="23"/>
      <c r="J44" s="13"/>
      <c r="K44" s="13"/>
      <c r="L44" s="13"/>
      <c r="M44" s="13"/>
      <c r="N44" s="13"/>
      <c r="O44" s="13"/>
      <c r="P44" s="13"/>
      <c r="Q44" s="13"/>
      <c r="R44" s="13"/>
      <c r="S44" s="13"/>
      <c r="T44" s="13"/>
      <c r="U44" s="13"/>
      <c r="V44" s="13"/>
      <c r="W44" s="13"/>
      <c r="X44" s="13"/>
    </row>
    <row r="45" spans="1:24" ht="15.75" customHeight="1">
      <c r="A45" s="13"/>
      <c r="B45" s="13"/>
      <c r="C45" s="13"/>
      <c r="D45" s="13"/>
      <c r="E45" s="13"/>
      <c r="F45" s="13"/>
      <c r="G45" s="13"/>
      <c r="H45" s="22"/>
      <c r="I45" s="23"/>
      <c r="J45" s="13"/>
      <c r="K45" s="13"/>
      <c r="L45" s="13"/>
      <c r="M45" s="13"/>
      <c r="N45" s="13"/>
      <c r="O45" s="13"/>
      <c r="P45" s="13"/>
      <c r="Q45" s="13"/>
      <c r="R45" s="13"/>
      <c r="S45" s="13"/>
      <c r="T45" s="13"/>
      <c r="U45" s="13"/>
      <c r="V45" s="13"/>
      <c r="W45" s="13"/>
      <c r="X45" s="13"/>
    </row>
    <row r="46" spans="1:24" ht="15.75" customHeight="1">
      <c r="A46" s="13"/>
      <c r="B46" s="13"/>
      <c r="C46" s="13"/>
      <c r="D46" s="13"/>
      <c r="E46" s="13"/>
      <c r="F46" s="13"/>
      <c r="G46" s="13"/>
      <c r="H46" s="22"/>
      <c r="I46" s="23"/>
      <c r="J46" s="13"/>
      <c r="K46" s="13"/>
      <c r="L46" s="13"/>
      <c r="M46" s="13"/>
      <c r="N46" s="13"/>
      <c r="O46" s="13"/>
      <c r="P46" s="13"/>
      <c r="Q46" s="13"/>
      <c r="R46" s="13"/>
      <c r="S46" s="13"/>
      <c r="T46" s="13"/>
      <c r="U46" s="13"/>
      <c r="V46" s="13"/>
      <c r="W46" s="13"/>
      <c r="X46" s="13"/>
    </row>
    <row r="47" spans="1:24" ht="15.75" customHeight="1">
      <c r="A47" s="13"/>
      <c r="B47" s="13"/>
      <c r="C47" s="13"/>
      <c r="D47" s="13"/>
      <c r="E47" s="13"/>
      <c r="F47" s="13"/>
      <c r="G47" s="13"/>
      <c r="H47" s="22"/>
      <c r="I47" s="23"/>
      <c r="J47" s="13"/>
      <c r="K47" s="13"/>
      <c r="L47" s="13"/>
      <c r="M47" s="13"/>
      <c r="N47" s="13"/>
      <c r="O47" s="13"/>
      <c r="P47" s="13"/>
      <c r="Q47" s="13"/>
      <c r="R47" s="13"/>
      <c r="S47" s="13"/>
      <c r="T47" s="13"/>
      <c r="U47" s="13"/>
      <c r="V47" s="13"/>
      <c r="W47" s="13"/>
      <c r="X47" s="13"/>
    </row>
    <row r="48" spans="1:24" ht="15.75" customHeight="1">
      <c r="A48" s="13"/>
      <c r="B48" s="13"/>
      <c r="C48" s="13"/>
      <c r="D48" s="13"/>
      <c r="E48" s="13"/>
      <c r="F48" s="13"/>
      <c r="G48" s="13"/>
      <c r="H48" s="22"/>
      <c r="I48" s="23"/>
      <c r="J48" s="13"/>
      <c r="K48" s="13"/>
      <c r="L48" s="13"/>
      <c r="M48" s="13"/>
      <c r="N48" s="13"/>
      <c r="O48" s="13"/>
      <c r="P48" s="13"/>
      <c r="Q48" s="13"/>
      <c r="R48" s="13"/>
      <c r="S48" s="13"/>
      <c r="T48" s="13"/>
      <c r="U48" s="13"/>
      <c r="V48" s="13"/>
      <c r="W48" s="13"/>
      <c r="X48" s="13"/>
    </row>
    <row r="49" spans="1:24" ht="15.75" customHeight="1">
      <c r="A49" s="13"/>
      <c r="B49" s="13"/>
      <c r="C49" s="13"/>
      <c r="D49" s="13"/>
      <c r="E49" s="13"/>
      <c r="F49" s="13"/>
      <c r="G49" s="13"/>
      <c r="H49" s="22"/>
      <c r="I49" s="23"/>
      <c r="J49" s="13"/>
      <c r="K49" s="13"/>
      <c r="L49" s="13"/>
      <c r="M49" s="13"/>
      <c r="N49" s="13"/>
      <c r="O49" s="13"/>
      <c r="P49" s="13"/>
      <c r="Q49" s="13"/>
      <c r="R49" s="13"/>
      <c r="S49" s="13"/>
      <c r="T49" s="13"/>
      <c r="U49" s="13"/>
      <c r="V49" s="13"/>
      <c r="W49" s="13"/>
      <c r="X49" s="13"/>
    </row>
    <row r="50" spans="1:24" ht="15.75" customHeight="1">
      <c r="A50" s="13"/>
      <c r="B50" s="13"/>
      <c r="C50" s="13"/>
      <c r="D50" s="13"/>
      <c r="E50" s="13"/>
      <c r="F50" s="13"/>
      <c r="G50" s="13"/>
      <c r="H50" s="22"/>
      <c r="I50" s="23"/>
      <c r="J50" s="13"/>
      <c r="K50" s="13"/>
      <c r="L50" s="13"/>
      <c r="M50" s="13"/>
      <c r="N50" s="13"/>
      <c r="O50" s="13"/>
      <c r="P50" s="13"/>
      <c r="Q50" s="13"/>
      <c r="R50" s="13"/>
      <c r="S50" s="13"/>
      <c r="T50" s="13"/>
      <c r="U50" s="13"/>
      <c r="V50" s="13"/>
      <c r="W50" s="13"/>
      <c r="X50" s="13"/>
    </row>
    <row r="51" spans="1:24" ht="15.75" customHeight="1">
      <c r="A51" s="13"/>
      <c r="B51" s="13"/>
      <c r="C51" s="13"/>
      <c r="D51" s="13"/>
      <c r="E51" s="13"/>
      <c r="F51" s="13"/>
      <c r="G51" s="13"/>
      <c r="H51" s="22"/>
      <c r="I51" s="23"/>
      <c r="J51" s="13"/>
      <c r="K51" s="13"/>
      <c r="L51" s="13"/>
      <c r="M51" s="13"/>
      <c r="N51" s="13"/>
      <c r="O51" s="13"/>
      <c r="P51" s="13"/>
      <c r="Q51" s="13"/>
      <c r="R51" s="13"/>
      <c r="S51" s="13"/>
      <c r="T51" s="13"/>
      <c r="U51" s="13"/>
      <c r="V51" s="13"/>
      <c r="W51" s="13"/>
      <c r="X51" s="13"/>
    </row>
    <row r="52" spans="1:24" ht="15.75" customHeight="1">
      <c r="A52" s="13"/>
      <c r="B52" s="13"/>
      <c r="C52" s="13"/>
      <c r="D52" s="13"/>
      <c r="E52" s="13"/>
      <c r="F52" s="13"/>
      <c r="G52" s="13"/>
      <c r="H52" s="22"/>
      <c r="I52" s="23"/>
      <c r="J52" s="13"/>
      <c r="K52" s="13"/>
      <c r="L52" s="13"/>
      <c r="M52" s="13"/>
      <c r="N52" s="13"/>
      <c r="O52" s="13"/>
      <c r="P52" s="13"/>
      <c r="Q52" s="13"/>
      <c r="R52" s="13"/>
      <c r="S52" s="13"/>
      <c r="T52" s="13"/>
      <c r="U52" s="13"/>
      <c r="V52" s="13"/>
      <c r="W52" s="13"/>
      <c r="X52" s="13"/>
    </row>
    <row r="53" spans="1:24" ht="15.75" customHeight="1">
      <c r="A53" s="13"/>
      <c r="B53" s="13"/>
      <c r="C53" s="13"/>
      <c r="D53" s="13"/>
      <c r="E53" s="13"/>
      <c r="F53" s="13"/>
      <c r="G53" s="13"/>
      <c r="H53" s="22"/>
      <c r="I53" s="23"/>
      <c r="J53" s="13"/>
      <c r="K53" s="13"/>
      <c r="L53" s="13"/>
      <c r="M53" s="13"/>
      <c r="N53" s="13"/>
      <c r="O53" s="13"/>
      <c r="P53" s="13"/>
      <c r="Q53" s="13"/>
      <c r="R53" s="13"/>
      <c r="S53" s="13"/>
      <c r="T53" s="13"/>
      <c r="U53" s="13"/>
      <c r="V53" s="13"/>
      <c r="W53" s="13"/>
      <c r="X53" s="13"/>
    </row>
    <row r="54" spans="1:24" ht="15.75" customHeight="1">
      <c r="A54" s="13"/>
      <c r="B54" s="13"/>
      <c r="C54" s="13"/>
      <c r="D54" s="13"/>
      <c r="E54" s="13"/>
      <c r="F54" s="13"/>
      <c r="G54" s="13"/>
      <c r="H54" s="22"/>
      <c r="I54" s="23"/>
      <c r="J54" s="13"/>
      <c r="K54" s="13"/>
      <c r="L54" s="13"/>
      <c r="M54" s="13"/>
      <c r="N54" s="13"/>
      <c r="O54" s="13"/>
      <c r="P54" s="13"/>
      <c r="Q54" s="13"/>
      <c r="R54" s="13"/>
      <c r="S54" s="13"/>
      <c r="T54" s="13"/>
      <c r="U54" s="13"/>
      <c r="V54" s="13"/>
      <c r="W54" s="13"/>
      <c r="X54" s="13"/>
    </row>
    <row r="55" spans="1:24" ht="15.75" customHeight="1">
      <c r="A55" s="13"/>
      <c r="B55" s="13"/>
      <c r="C55" s="13"/>
      <c r="D55" s="13"/>
      <c r="E55" s="13"/>
      <c r="F55" s="13"/>
      <c r="G55" s="13"/>
      <c r="H55" s="22"/>
      <c r="I55" s="23"/>
      <c r="J55" s="13"/>
      <c r="K55" s="13"/>
      <c r="L55" s="13"/>
      <c r="M55" s="13"/>
      <c r="N55" s="13"/>
      <c r="O55" s="13"/>
      <c r="P55" s="13"/>
      <c r="Q55" s="13"/>
      <c r="R55" s="13"/>
      <c r="S55" s="13"/>
      <c r="T55" s="13"/>
      <c r="U55" s="13"/>
      <c r="V55" s="13"/>
      <c r="W55" s="13"/>
      <c r="X55" s="13"/>
    </row>
    <row r="56" spans="1:24" ht="15.75" customHeight="1">
      <c r="A56" s="13"/>
      <c r="B56" s="13"/>
      <c r="C56" s="13"/>
      <c r="D56" s="13"/>
      <c r="E56" s="13"/>
      <c r="F56" s="13"/>
      <c r="G56" s="13"/>
      <c r="H56" s="22"/>
      <c r="I56" s="23"/>
      <c r="J56" s="13"/>
      <c r="K56" s="13"/>
      <c r="L56" s="13"/>
      <c r="M56" s="13"/>
      <c r="N56" s="13"/>
      <c r="O56" s="13"/>
      <c r="P56" s="13"/>
      <c r="Q56" s="13"/>
      <c r="R56" s="13"/>
      <c r="S56" s="13"/>
      <c r="T56" s="13"/>
      <c r="U56" s="13"/>
      <c r="V56" s="13"/>
      <c r="W56" s="13"/>
      <c r="X56" s="13"/>
    </row>
    <row r="57" spans="1:24" ht="15.75" customHeight="1">
      <c r="A57" s="13"/>
      <c r="B57" s="13"/>
      <c r="C57" s="13"/>
      <c r="D57" s="13"/>
      <c r="E57" s="13"/>
      <c r="F57" s="13"/>
      <c r="G57" s="13"/>
      <c r="H57" s="22"/>
      <c r="I57" s="23"/>
      <c r="J57" s="13"/>
      <c r="K57" s="13"/>
      <c r="L57" s="13"/>
      <c r="M57" s="13"/>
      <c r="N57" s="13"/>
      <c r="O57" s="13"/>
      <c r="P57" s="13"/>
      <c r="Q57" s="13"/>
      <c r="R57" s="13"/>
      <c r="S57" s="13"/>
      <c r="T57" s="13"/>
      <c r="U57" s="13"/>
      <c r="V57" s="13"/>
      <c r="W57" s="13"/>
      <c r="X57" s="13"/>
    </row>
    <row r="58" spans="1:24" ht="15.75" customHeight="1">
      <c r="A58" s="13"/>
      <c r="B58" s="13"/>
      <c r="C58" s="13"/>
      <c r="D58" s="13"/>
      <c r="E58" s="13"/>
      <c r="F58" s="13"/>
      <c r="G58" s="13"/>
      <c r="H58" s="22"/>
      <c r="I58" s="23"/>
      <c r="J58" s="13"/>
      <c r="K58" s="13"/>
      <c r="L58" s="13"/>
      <c r="M58" s="13"/>
      <c r="N58" s="13"/>
      <c r="O58" s="13"/>
      <c r="P58" s="13"/>
      <c r="Q58" s="13"/>
      <c r="R58" s="13"/>
      <c r="S58" s="13"/>
      <c r="T58" s="13"/>
      <c r="U58" s="13"/>
      <c r="V58" s="13"/>
      <c r="W58" s="13"/>
      <c r="X58" s="13"/>
    </row>
    <row r="59" spans="1:24" ht="15.75" customHeight="1">
      <c r="A59" s="13"/>
      <c r="B59" s="13"/>
      <c r="C59" s="13"/>
      <c r="D59" s="13"/>
      <c r="E59" s="13"/>
      <c r="F59" s="13"/>
      <c r="G59" s="13"/>
      <c r="H59" s="22"/>
      <c r="I59" s="23"/>
      <c r="J59" s="13"/>
      <c r="K59" s="13"/>
      <c r="L59" s="13"/>
      <c r="M59" s="13"/>
      <c r="N59" s="13"/>
      <c r="O59" s="13"/>
      <c r="P59" s="13"/>
      <c r="Q59" s="13"/>
      <c r="R59" s="13"/>
      <c r="S59" s="13"/>
      <c r="T59" s="13"/>
      <c r="U59" s="13"/>
      <c r="V59" s="13"/>
      <c r="W59" s="13"/>
      <c r="X59" s="13"/>
    </row>
    <row r="60" spans="1:24" ht="15.75" customHeight="1">
      <c r="A60" s="13"/>
      <c r="B60" s="13"/>
      <c r="C60" s="13"/>
      <c r="D60" s="13"/>
      <c r="E60" s="13"/>
      <c r="F60" s="13"/>
      <c r="G60" s="13"/>
      <c r="H60" s="22"/>
      <c r="I60" s="23"/>
      <c r="J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22"/>
      <c r="I61" s="2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22"/>
      <c r="I62" s="2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22"/>
      <c r="I63" s="2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22"/>
      <c r="I64" s="2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22"/>
      <c r="I65" s="2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22"/>
      <c r="I66" s="2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22"/>
      <c r="I67" s="2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22"/>
      <c r="I68" s="2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22"/>
      <c r="I69" s="2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22"/>
      <c r="I70" s="2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22"/>
      <c r="I71" s="2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22"/>
      <c r="I72" s="2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22"/>
      <c r="I73" s="2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22"/>
      <c r="I74" s="2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22"/>
      <c r="I75" s="2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22"/>
      <c r="I76" s="2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22"/>
      <c r="I77" s="2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22"/>
      <c r="I78" s="2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22"/>
      <c r="I79" s="2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22"/>
      <c r="I80" s="2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22"/>
      <c r="I81" s="2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22"/>
      <c r="I82" s="2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22"/>
      <c r="I83" s="2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22"/>
      <c r="I84" s="2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22"/>
      <c r="I85" s="2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22"/>
      <c r="I86" s="2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22"/>
      <c r="I87" s="2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22"/>
      <c r="I88" s="2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22"/>
      <c r="I89" s="2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22"/>
      <c r="I90" s="2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22"/>
      <c r="I91" s="2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22"/>
      <c r="I92" s="2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22"/>
      <c r="I93" s="2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22"/>
      <c r="I94" s="2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22"/>
      <c r="I95" s="2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22"/>
      <c r="I96" s="2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22"/>
      <c r="I97" s="2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22"/>
      <c r="I98" s="2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22"/>
      <c r="I99" s="2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22"/>
      <c r="I100" s="2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22"/>
      <c r="I101" s="2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22"/>
      <c r="I102" s="2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22"/>
      <c r="I103" s="2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22"/>
      <c r="I104" s="2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22"/>
      <c r="I105" s="2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22"/>
      <c r="I106" s="2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22"/>
      <c r="I107" s="2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22"/>
      <c r="I108" s="2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22"/>
      <c r="I109" s="2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22"/>
      <c r="I110" s="2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22"/>
      <c r="I111" s="2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22"/>
      <c r="I112" s="2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22"/>
      <c r="I113" s="2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22"/>
      <c r="I114" s="2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22"/>
      <c r="I115" s="2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22"/>
      <c r="I116" s="2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22"/>
      <c r="I117" s="2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22"/>
      <c r="I118" s="2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22"/>
      <c r="I119" s="2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22"/>
      <c r="I120" s="2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22"/>
      <c r="I121" s="2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22"/>
      <c r="I122" s="2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22"/>
      <c r="I123" s="2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22"/>
      <c r="I124" s="2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22"/>
      <c r="I125" s="2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22"/>
      <c r="I126" s="2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22"/>
      <c r="I127" s="2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22"/>
      <c r="I128" s="2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22"/>
      <c r="I129" s="2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22"/>
      <c r="I130" s="2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22"/>
      <c r="I131" s="2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22"/>
      <c r="I132" s="2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22"/>
      <c r="I133" s="2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22"/>
      <c r="I134" s="2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22"/>
      <c r="I135" s="2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22"/>
      <c r="I136" s="2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22"/>
      <c r="I137" s="2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22"/>
      <c r="I138" s="2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22"/>
      <c r="I139" s="2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22"/>
      <c r="I140" s="2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22"/>
      <c r="I141" s="2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22"/>
      <c r="I142" s="2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22"/>
      <c r="I143" s="2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22"/>
      <c r="I144" s="2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22"/>
      <c r="I145" s="2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22"/>
      <c r="I146" s="2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22"/>
      <c r="I147" s="2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22"/>
      <c r="I148" s="2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22"/>
      <c r="I149" s="2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22"/>
      <c r="I150" s="2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22"/>
      <c r="I151" s="2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22"/>
      <c r="I152" s="2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22"/>
      <c r="I153" s="2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22"/>
      <c r="I154" s="2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22"/>
      <c r="I155" s="2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22"/>
      <c r="I156" s="2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22"/>
      <c r="I157" s="2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22"/>
      <c r="I158" s="2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22"/>
      <c r="I159" s="2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22"/>
      <c r="I160" s="2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22"/>
      <c r="I161" s="2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22"/>
      <c r="I162" s="2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22"/>
      <c r="I163" s="2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22"/>
      <c r="I164" s="2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22"/>
      <c r="I165" s="2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22"/>
      <c r="I166" s="2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22"/>
      <c r="I167" s="2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22"/>
      <c r="I168" s="2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22"/>
      <c r="I169" s="2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22"/>
      <c r="I170" s="2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22"/>
      <c r="I171" s="2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22"/>
      <c r="I172" s="2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22"/>
      <c r="I173" s="2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22"/>
      <c r="I174" s="2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P3"/>
  </mergeCells>
  <pageMargins left="0.7" right="0.7" top="0.75" bottom="0.75" header="0" footer="0"/>
  <pageSetup paperSize="9" orientation="portrait"/>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00"/>
  <sheetViews>
    <sheetView showGridLines="0" topLeftCell="A15" workbookViewId="0">
      <selection activeCell="G14" sqref="G14"/>
    </sheetView>
  </sheetViews>
  <sheetFormatPr defaultColWidth="14.453125" defaultRowHeight="15" customHeight="1"/>
  <cols>
    <col min="1" max="1" width="3" customWidth="1"/>
    <col min="2" max="2" width="27.54296875" bestFit="1" customWidth="1"/>
    <col min="3" max="3" width="15.26953125" bestFit="1" customWidth="1"/>
    <col min="4" max="4" width="4.7265625" bestFit="1" customWidth="1"/>
    <col min="5" max="5" width="3.90625" bestFit="1" customWidth="1"/>
    <col min="6" max="6" width="4.7265625" bestFit="1" customWidth="1"/>
    <col min="7" max="7" width="4" bestFit="1" customWidth="1"/>
    <col min="8" max="8" width="2.90625" bestFit="1" customWidth="1"/>
    <col min="9" max="9" width="3.453125" bestFit="1" customWidth="1"/>
    <col min="10" max="10" width="10.7265625" bestFit="1" customWidth="1"/>
    <col min="11" max="16" width="9.08984375" customWidth="1"/>
    <col min="17" max="18" width="9.08984375" hidden="1" customWidth="1"/>
    <col min="19" max="24" width="10.6328125" hidden="1" customWidth="1"/>
    <col min="25"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13"/>
      <c r="R2" s="13"/>
      <c r="S2" s="3"/>
      <c r="T2" s="3"/>
      <c r="U2" s="3"/>
      <c r="V2" s="3"/>
      <c r="W2" s="13"/>
      <c r="X2" s="13"/>
    </row>
    <row r="3" spans="1:24" ht="30" customHeight="1">
      <c r="A3" s="13"/>
      <c r="B3" s="46" t="s">
        <v>211</v>
      </c>
      <c r="C3" s="38"/>
      <c r="D3" s="38"/>
      <c r="E3" s="38"/>
      <c r="F3" s="38"/>
      <c r="G3" s="38"/>
      <c r="H3" s="38"/>
      <c r="I3" s="38"/>
      <c r="J3" s="38"/>
      <c r="K3" s="38"/>
      <c r="L3" s="38"/>
      <c r="M3" s="38"/>
      <c r="N3" s="38"/>
      <c r="O3" s="38"/>
      <c r="P3" s="38"/>
      <c r="Q3" s="13"/>
      <c r="R3" s="13"/>
      <c r="S3" s="13"/>
      <c r="T3" s="13"/>
      <c r="U3" s="13"/>
      <c r="V3" s="13"/>
      <c r="W3" s="13"/>
      <c r="X3" s="13"/>
    </row>
    <row r="4" spans="1:24" ht="14.5">
      <c r="A4" s="13"/>
      <c r="B4" s="21"/>
      <c r="C4" s="13"/>
      <c r="D4" s="13"/>
      <c r="E4" s="13"/>
      <c r="F4" s="13"/>
      <c r="G4" s="13"/>
      <c r="H4" s="13"/>
      <c r="I4" s="13"/>
      <c r="J4" s="13"/>
      <c r="K4" s="13"/>
      <c r="L4" s="13"/>
      <c r="M4" s="13"/>
      <c r="N4" s="13"/>
      <c r="O4" s="13"/>
      <c r="P4" s="13"/>
      <c r="Q4" s="13"/>
      <c r="R4" s="13"/>
      <c r="S4" s="13"/>
      <c r="T4" s="13"/>
      <c r="U4" s="13"/>
      <c r="V4" s="13"/>
      <c r="W4" s="13"/>
      <c r="X4" s="13"/>
    </row>
    <row r="5" spans="1:24" ht="14.5">
      <c r="A5" s="13"/>
      <c r="B5" s="13"/>
      <c r="C5" s="13"/>
      <c r="D5" s="13"/>
      <c r="E5" s="13"/>
      <c r="F5" s="13"/>
      <c r="G5" s="13"/>
      <c r="H5" s="13"/>
      <c r="I5" s="13"/>
      <c r="J5" s="13"/>
      <c r="K5" s="26"/>
      <c r="L5" s="13"/>
      <c r="M5" s="20"/>
      <c r="N5" s="13"/>
      <c r="O5" s="13"/>
      <c r="P5" s="13"/>
      <c r="Q5" s="13"/>
      <c r="R5" s="13"/>
      <c r="S5" s="13"/>
      <c r="T5" s="13"/>
      <c r="U5" s="13"/>
      <c r="V5" s="13"/>
      <c r="W5" s="13"/>
      <c r="X5" s="13"/>
    </row>
    <row r="6" spans="1:24" ht="14.5">
      <c r="A6" s="13"/>
      <c r="B6" s="13"/>
      <c r="C6" s="13"/>
      <c r="D6" s="13"/>
      <c r="E6" s="13"/>
      <c r="F6" s="13"/>
      <c r="G6" s="13"/>
      <c r="H6" s="13"/>
      <c r="I6" s="13"/>
      <c r="J6" s="13"/>
      <c r="K6" s="13"/>
      <c r="L6" s="13"/>
      <c r="M6" s="13"/>
      <c r="N6" s="13"/>
      <c r="O6" s="13"/>
      <c r="P6" s="13"/>
      <c r="Q6" s="13"/>
      <c r="R6" s="13"/>
      <c r="S6" s="13"/>
      <c r="T6" s="13"/>
      <c r="U6" s="13"/>
      <c r="V6" s="13"/>
      <c r="W6" s="13"/>
      <c r="X6" s="13"/>
    </row>
    <row r="7" spans="1:24" ht="15.5">
      <c r="A7" s="13"/>
      <c r="B7" s="27" t="s">
        <v>217</v>
      </c>
      <c r="C7" s="27" t="s">
        <v>244</v>
      </c>
      <c r="K7" s="13"/>
      <c r="L7" s="24"/>
      <c r="M7" s="13"/>
      <c r="N7" s="13"/>
      <c r="O7" s="13"/>
      <c r="P7" s="13"/>
      <c r="Q7" s="13"/>
      <c r="R7" s="13"/>
      <c r="S7" s="13"/>
      <c r="T7" s="13"/>
      <c r="U7" s="13"/>
      <c r="V7" s="13"/>
      <c r="W7" s="13"/>
      <c r="X7" s="13"/>
    </row>
    <row r="8" spans="1:24" ht="15.5">
      <c r="A8" s="13"/>
      <c r="B8" s="27" t="s">
        <v>218</v>
      </c>
      <c r="C8" t="s">
        <v>245</v>
      </c>
      <c r="D8" t="s">
        <v>246</v>
      </c>
      <c r="E8" t="s">
        <v>247</v>
      </c>
      <c r="F8" t="s">
        <v>248</v>
      </c>
      <c r="G8" t="s">
        <v>249</v>
      </c>
      <c r="H8" t="s">
        <v>250</v>
      </c>
      <c r="I8" t="s">
        <v>251</v>
      </c>
      <c r="K8" s="13"/>
      <c r="L8" s="24"/>
      <c r="M8" s="13"/>
      <c r="N8" s="13"/>
      <c r="O8" s="13"/>
      <c r="P8" s="13"/>
      <c r="Q8" s="13"/>
      <c r="R8" s="13"/>
      <c r="S8" s="13"/>
      <c r="T8" s="13"/>
      <c r="U8" s="13"/>
      <c r="V8" s="13"/>
      <c r="W8" s="13"/>
      <c r="X8" s="13"/>
    </row>
    <row r="9" spans="1:24" ht="15.5">
      <c r="A9" s="13"/>
      <c r="B9" s="28" t="s">
        <v>219</v>
      </c>
      <c r="C9">
        <v>79</v>
      </c>
      <c r="D9">
        <v>81</v>
      </c>
      <c r="E9">
        <v>94</v>
      </c>
      <c r="F9">
        <v>91</v>
      </c>
      <c r="G9">
        <v>81</v>
      </c>
      <c r="H9">
        <v>76</v>
      </c>
      <c r="I9">
        <v>57</v>
      </c>
      <c r="K9" s="13"/>
      <c r="L9" s="24"/>
      <c r="M9" s="13"/>
      <c r="N9" s="13"/>
      <c r="O9" s="13"/>
      <c r="P9" s="13"/>
      <c r="Q9" s="13"/>
      <c r="R9" s="13"/>
      <c r="S9" s="13"/>
      <c r="T9" s="13"/>
      <c r="U9" s="13"/>
      <c r="V9" s="13"/>
      <c r="W9" s="13"/>
      <c r="X9" s="13"/>
    </row>
    <row r="10" spans="1:24" ht="15.5">
      <c r="A10" s="13"/>
      <c r="B10" s="28" t="s">
        <v>220</v>
      </c>
      <c r="C10">
        <v>84</v>
      </c>
      <c r="D10">
        <v>76</v>
      </c>
      <c r="E10">
        <v>83</v>
      </c>
      <c r="F10">
        <v>78</v>
      </c>
      <c r="G10">
        <v>73</v>
      </c>
      <c r="H10">
        <v>75</v>
      </c>
      <c r="I10">
        <v>90</v>
      </c>
      <c r="K10" s="13"/>
      <c r="L10" s="24"/>
      <c r="M10" s="18"/>
      <c r="N10" s="13"/>
      <c r="O10" s="13"/>
      <c r="P10" s="13"/>
      <c r="Q10" s="13"/>
      <c r="R10" s="13"/>
      <c r="S10" s="13"/>
      <c r="T10" s="13"/>
      <c r="U10" s="13"/>
      <c r="V10" s="13"/>
      <c r="W10" s="13"/>
      <c r="X10" s="13"/>
    </row>
    <row r="11" spans="1:24" ht="15.5">
      <c r="A11" s="13"/>
      <c r="B11" s="28" t="s">
        <v>221</v>
      </c>
      <c r="C11">
        <v>79</v>
      </c>
      <c r="D11">
        <v>50</v>
      </c>
      <c r="E11">
        <v>56</v>
      </c>
      <c r="F11">
        <v>80</v>
      </c>
      <c r="G11">
        <v>60</v>
      </c>
      <c r="H11">
        <v>92</v>
      </c>
      <c r="I11">
        <v>94</v>
      </c>
      <c r="K11" s="13"/>
      <c r="L11" s="24"/>
      <c r="M11" s="21"/>
      <c r="N11" s="13"/>
      <c r="O11" s="13"/>
      <c r="P11" s="13"/>
      <c r="Q11" s="13"/>
      <c r="R11" s="13"/>
      <c r="S11" s="13"/>
      <c r="T11" s="13"/>
      <c r="U11" s="13"/>
      <c r="V11" s="13"/>
      <c r="W11" s="13"/>
      <c r="X11" s="13"/>
    </row>
    <row r="12" spans="1:24" ht="15.5">
      <c r="A12" s="13"/>
      <c r="B12" s="28" t="s">
        <v>222</v>
      </c>
      <c r="C12">
        <v>67</v>
      </c>
      <c r="D12">
        <v>0</v>
      </c>
      <c r="E12">
        <v>44</v>
      </c>
      <c r="F12">
        <v>56</v>
      </c>
      <c r="G12">
        <v>100</v>
      </c>
      <c r="H12">
        <v>67</v>
      </c>
      <c r="I12">
        <v>70</v>
      </c>
      <c r="K12" s="13"/>
      <c r="L12" s="24"/>
      <c r="M12" s="13"/>
      <c r="N12" s="13"/>
      <c r="O12" s="13"/>
      <c r="P12" s="13"/>
      <c r="Q12" s="13"/>
      <c r="R12" s="13"/>
      <c r="S12" s="13"/>
      <c r="T12" s="13"/>
      <c r="U12" s="13"/>
      <c r="V12" s="13"/>
      <c r="W12" s="13"/>
      <c r="X12" s="13"/>
    </row>
    <row r="13" spans="1:24" ht="15.5">
      <c r="A13" s="13"/>
      <c r="B13" s="28" t="s">
        <v>223</v>
      </c>
      <c r="C13">
        <v>45</v>
      </c>
      <c r="D13">
        <v>50</v>
      </c>
      <c r="E13">
        <v>57</v>
      </c>
      <c r="F13">
        <v>43</v>
      </c>
      <c r="G13">
        <v>50</v>
      </c>
      <c r="H13">
        <v>20</v>
      </c>
      <c r="I13">
        <v>55</v>
      </c>
      <c r="K13" s="13"/>
      <c r="L13" s="24"/>
      <c r="M13" s="13"/>
      <c r="N13" s="13"/>
      <c r="O13" s="13"/>
      <c r="P13" s="13"/>
      <c r="Q13" s="13"/>
      <c r="R13" s="13"/>
      <c r="S13" s="13"/>
      <c r="T13" s="13"/>
      <c r="U13" s="13"/>
      <c r="V13" s="13"/>
      <c r="W13" s="13"/>
      <c r="X13" s="13"/>
    </row>
    <row r="14" spans="1:24" ht="15.5">
      <c r="A14" s="13"/>
      <c r="B14" s="28" t="s">
        <v>224</v>
      </c>
      <c r="C14">
        <v>85</v>
      </c>
      <c r="D14">
        <v>50</v>
      </c>
      <c r="E14">
        <v>100</v>
      </c>
      <c r="F14">
        <v>50</v>
      </c>
      <c r="G14">
        <v>60</v>
      </c>
      <c r="H14">
        <v>83</v>
      </c>
      <c r="I14">
        <v>77</v>
      </c>
      <c r="K14" s="13"/>
      <c r="L14" s="24"/>
      <c r="M14" s="13"/>
      <c r="N14" s="13"/>
      <c r="O14" s="13"/>
      <c r="P14" s="13"/>
      <c r="Q14" s="13"/>
      <c r="R14" s="13"/>
      <c r="S14" s="13"/>
      <c r="T14" s="13"/>
      <c r="U14" s="13"/>
      <c r="V14" s="13"/>
      <c r="W14" s="13"/>
      <c r="X14" s="13"/>
    </row>
    <row r="15" spans="1:24" ht="15.5">
      <c r="A15" s="13"/>
      <c r="B15" s="28" t="s">
        <v>225</v>
      </c>
      <c r="C15">
        <v>80</v>
      </c>
      <c r="D15">
        <v>36</v>
      </c>
      <c r="E15">
        <v>73</v>
      </c>
      <c r="F15">
        <v>18</v>
      </c>
      <c r="G15">
        <v>57</v>
      </c>
      <c r="H15">
        <v>60</v>
      </c>
      <c r="I15">
        <v>83</v>
      </c>
      <c r="K15" s="13"/>
      <c r="L15" s="24"/>
      <c r="M15" s="13"/>
      <c r="N15" s="13"/>
      <c r="O15" s="13"/>
      <c r="P15" s="13"/>
      <c r="Q15" s="13"/>
      <c r="R15" s="13"/>
      <c r="S15" s="13"/>
      <c r="T15" s="13"/>
      <c r="U15" s="13"/>
      <c r="V15" s="13"/>
      <c r="W15" s="13"/>
      <c r="X15" s="13"/>
    </row>
    <row r="16" spans="1:24" ht="15.5">
      <c r="A16" s="13"/>
      <c r="B16" s="28" t="s">
        <v>226</v>
      </c>
      <c r="C16">
        <v>71</v>
      </c>
      <c r="D16">
        <v>56</v>
      </c>
      <c r="E16">
        <v>69</v>
      </c>
      <c r="F16">
        <v>53</v>
      </c>
      <c r="G16">
        <v>52</v>
      </c>
      <c r="H16">
        <v>55</v>
      </c>
      <c r="I16">
        <v>78</v>
      </c>
      <c r="K16" s="13"/>
      <c r="L16" s="24"/>
      <c r="M16" s="13"/>
      <c r="N16" s="13"/>
      <c r="O16" s="13"/>
      <c r="P16" s="13"/>
      <c r="Q16" s="13"/>
      <c r="R16" s="13"/>
      <c r="S16" s="13"/>
      <c r="T16" s="13"/>
      <c r="U16" s="13"/>
      <c r="V16" s="13"/>
      <c r="W16" s="13"/>
      <c r="X16" s="13"/>
    </row>
    <row r="17" spans="1:24" ht="15.5">
      <c r="A17" s="13"/>
      <c r="B17" s="28" t="s">
        <v>227</v>
      </c>
      <c r="C17">
        <v>79</v>
      </c>
      <c r="D17">
        <v>53</v>
      </c>
      <c r="E17">
        <v>68</v>
      </c>
      <c r="F17">
        <v>39</v>
      </c>
      <c r="G17">
        <v>56</v>
      </c>
      <c r="H17">
        <v>65</v>
      </c>
      <c r="I17">
        <v>59</v>
      </c>
      <c r="K17" s="13"/>
      <c r="L17" s="24"/>
      <c r="M17" s="13"/>
      <c r="N17" s="13"/>
      <c r="O17" s="13"/>
      <c r="P17" s="13"/>
      <c r="Q17" s="13"/>
      <c r="R17" s="13"/>
      <c r="S17" s="13"/>
      <c r="T17" s="13"/>
      <c r="U17" s="13"/>
      <c r="V17" s="13"/>
      <c r="W17" s="13"/>
      <c r="X17" s="13"/>
    </row>
    <row r="18" spans="1:24" ht="15.5">
      <c r="A18" s="13"/>
      <c r="B18" s="28" t="s">
        <v>228</v>
      </c>
      <c r="C18">
        <v>59</v>
      </c>
      <c r="D18">
        <v>58</v>
      </c>
      <c r="E18">
        <v>76</v>
      </c>
      <c r="F18">
        <v>51</v>
      </c>
      <c r="G18">
        <v>57</v>
      </c>
      <c r="H18">
        <v>67</v>
      </c>
      <c r="I18">
        <v>79</v>
      </c>
      <c r="K18" s="13"/>
      <c r="L18" s="24"/>
      <c r="M18" s="13"/>
      <c r="N18" s="13"/>
      <c r="O18" s="13"/>
      <c r="P18" s="13"/>
      <c r="Q18" s="13"/>
      <c r="R18" s="13"/>
      <c r="S18" s="13"/>
      <c r="T18" s="13"/>
      <c r="U18" s="13"/>
      <c r="V18" s="13"/>
      <c r="W18" s="13"/>
      <c r="X18" s="13"/>
    </row>
    <row r="19" spans="1:24" ht="15.5">
      <c r="A19" s="13"/>
      <c r="B19" s="28" t="s">
        <v>229</v>
      </c>
      <c r="C19">
        <v>54</v>
      </c>
      <c r="D19">
        <v>56</v>
      </c>
      <c r="E19">
        <v>76</v>
      </c>
      <c r="F19">
        <v>67</v>
      </c>
      <c r="G19">
        <v>79</v>
      </c>
      <c r="H19">
        <v>67</v>
      </c>
      <c r="I19">
        <v>66</v>
      </c>
      <c r="K19" s="13"/>
      <c r="L19" s="24"/>
      <c r="M19" s="13"/>
      <c r="N19" s="13"/>
      <c r="O19" s="13"/>
      <c r="P19" s="13"/>
      <c r="Q19" s="13"/>
      <c r="R19" s="13"/>
      <c r="S19" s="13"/>
      <c r="T19" s="13"/>
      <c r="U19" s="13"/>
      <c r="V19" s="13"/>
      <c r="W19" s="13"/>
      <c r="X19" s="13"/>
    </row>
    <row r="20" spans="1:24" ht="15.5">
      <c r="A20" s="13"/>
      <c r="B20" s="28" t="s">
        <v>230</v>
      </c>
      <c r="C20">
        <v>85</v>
      </c>
      <c r="D20">
        <v>77</v>
      </c>
      <c r="E20">
        <v>86</v>
      </c>
      <c r="F20">
        <v>80</v>
      </c>
      <c r="G20">
        <v>89</v>
      </c>
      <c r="H20">
        <v>79</v>
      </c>
      <c r="I20">
        <v>51</v>
      </c>
      <c r="K20" s="13"/>
      <c r="L20" s="24"/>
      <c r="M20" s="13"/>
      <c r="N20" s="13"/>
      <c r="O20" s="13"/>
      <c r="P20" s="13"/>
      <c r="Q20" s="13"/>
      <c r="R20" s="13"/>
      <c r="S20" s="13"/>
      <c r="T20" s="13"/>
      <c r="U20" s="13"/>
      <c r="V20" s="13"/>
      <c r="W20" s="13"/>
      <c r="X20" s="13"/>
    </row>
    <row r="21" spans="1:24" ht="15.75" customHeight="1">
      <c r="A21" s="13"/>
      <c r="B21" s="28" t="s">
        <v>231</v>
      </c>
      <c r="C21">
        <v>71</v>
      </c>
      <c r="D21">
        <v>82</v>
      </c>
      <c r="E21">
        <v>88</v>
      </c>
      <c r="F21">
        <v>71</v>
      </c>
      <c r="G21">
        <v>85</v>
      </c>
      <c r="H21">
        <v>73</v>
      </c>
      <c r="I21">
        <v>52</v>
      </c>
      <c r="K21" s="13"/>
      <c r="L21" s="24"/>
      <c r="M21" s="13"/>
      <c r="N21" s="13"/>
      <c r="O21" s="13"/>
      <c r="P21" s="13"/>
      <c r="Q21" s="13"/>
      <c r="R21" s="13"/>
      <c r="S21" s="13"/>
      <c r="T21" s="13"/>
      <c r="U21" s="13"/>
      <c r="V21" s="13"/>
      <c r="W21" s="13"/>
      <c r="X21" s="13"/>
    </row>
    <row r="22" spans="1:24" ht="15.75" customHeight="1">
      <c r="A22" s="13"/>
      <c r="B22" s="28" t="s">
        <v>232</v>
      </c>
      <c r="C22">
        <v>70</v>
      </c>
      <c r="D22">
        <v>82</v>
      </c>
      <c r="E22">
        <v>91</v>
      </c>
      <c r="F22">
        <v>87</v>
      </c>
      <c r="G22">
        <v>89</v>
      </c>
      <c r="H22">
        <v>79</v>
      </c>
      <c r="I22">
        <v>66</v>
      </c>
      <c r="K22" s="13"/>
      <c r="L22" s="24"/>
      <c r="M22" s="18"/>
      <c r="N22" s="13"/>
      <c r="O22" s="13"/>
      <c r="P22" s="13"/>
      <c r="Q22" s="13"/>
      <c r="R22" s="13"/>
      <c r="S22" s="13"/>
      <c r="T22" s="13"/>
      <c r="U22" s="13"/>
      <c r="V22" s="13"/>
      <c r="W22" s="13"/>
      <c r="X22" s="13"/>
    </row>
    <row r="23" spans="1:24" ht="15.75" customHeight="1">
      <c r="A23" s="13"/>
      <c r="B23" s="28" t="s">
        <v>233</v>
      </c>
      <c r="C23">
        <v>69</v>
      </c>
      <c r="D23">
        <v>88</v>
      </c>
      <c r="E23">
        <v>84</v>
      </c>
      <c r="F23">
        <v>92</v>
      </c>
      <c r="G23">
        <v>88</v>
      </c>
      <c r="H23">
        <v>78</v>
      </c>
      <c r="I23">
        <v>82</v>
      </c>
      <c r="K23" s="13"/>
      <c r="L23" s="24"/>
      <c r="M23" s="13"/>
      <c r="N23" s="13"/>
      <c r="O23" s="13"/>
      <c r="P23" s="13"/>
      <c r="Q23" s="13"/>
      <c r="R23" s="13"/>
      <c r="S23" s="13"/>
      <c r="T23" s="13"/>
      <c r="U23" s="13"/>
      <c r="V23" s="13"/>
      <c r="W23" s="13"/>
      <c r="X23" s="13"/>
    </row>
    <row r="24" spans="1:24" ht="15.75" customHeight="1">
      <c r="A24" s="13"/>
      <c r="B24" s="28" t="s">
        <v>234</v>
      </c>
      <c r="C24">
        <v>82</v>
      </c>
      <c r="D24">
        <v>91</v>
      </c>
      <c r="E24">
        <v>95</v>
      </c>
      <c r="F24">
        <v>84</v>
      </c>
      <c r="G24">
        <v>77</v>
      </c>
      <c r="H24">
        <v>82</v>
      </c>
      <c r="I24">
        <v>94</v>
      </c>
      <c r="K24" s="13"/>
      <c r="L24" s="24"/>
      <c r="M24" s="13"/>
      <c r="N24" s="13"/>
      <c r="O24" s="13"/>
      <c r="P24" s="13"/>
      <c r="Q24" s="13"/>
      <c r="R24" s="13"/>
      <c r="S24" s="13"/>
      <c r="T24" s="13"/>
      <c r="U24" s="13"/>
      <c r="V24" s="13"/>
      <c r="W24" s="13"/>
      <c r="X24" s="13"/>
    </row>
    <row r="25" spans="1:24" ht="15.75" customHeight="1">
      <c r="A25" s="13"/>
      <c r="B25" s="28" t="s">
        <v>235</v>
      </c>
      <c r="C25">
        <v>81</v>
      </c>
      <c r="D25">
        <v>100</v>
      </c>
      <c r="E25">
        <v>92</v>
      </c>
      <c r="F25">
        <v>83</v>
      </c>
      <c r="G25">
        <v>84</v>
      </c>
      <c r="H25">
        <v>63</v>
      </c>
      <c r="I25">
        <v>76</v>
      </c>
      <c r="K25" s="13"/>
      <c r="L25" s="24"/>
      <c r="M25" s="13"/>
      <c r="N25" s="13"/>
      <c r="O25" s="13"/>
      <c r="P25" s="13"/>
      <c r="Q25" s="13"/>
      <c r="R25" s="13"/>
      <c r="S25" s="13"/>
      <c r="T25" s="13"/>
      <c r="U25" s="13"/>
      <c r="V25" s="13"/>
      <c r="W25" s="13"/>
      <c r="X25" s="13"/>
    </row>
    <row r="26" spans="1:24" ht="15.75" customHeight="1">
      <c r="A26" s="13"/>
      <c r="B26" s="28" t="s">
        <v>236</v>
      </c>
      <c r="C26">
        <v>68</v>
      </c>
      <c r="D26">
        <v>97</v>
      </c>
      <c r="E26">
        <v>80</v>
      </c>
      <c r="F26">
        <v>92</v>
      </c>
      <c r="G26">
        <v>84</v>
      </c>
      <c r="H26">
        <v>62</v>
      </c>
      <c r="I26">
        <v>82</v>
      </c>
      <c r="K26" s="13"/>
      <c r="L26" s="24"/>
      <c r="M26" s="13"/>
      <c r="N26" s="13"/>
      <c r="O26" s="13"/>
      <c r="P26" s="13"/>
      <c r="Q26" s="13"/>
      <c r="R26" s="13"/>
      <c r="S26" s="13"/>
      <c r="T26" s="13"/>
      <c r="U26" s="13"/>
      <c r="V26" s="13"/>
      <c r="W26" s="13"/>
      <c r="X26" s="13"/>
    </row>
    <row r="27" spans="1:24" ht="15.75" customHeight="1">
      <c r="A27" s="13"/>
      <c r="B27" s="28" t="s">
        <v>237</v>
      </c>
      <c r="C27">
        <v>85</v>
      </c>
      <c r="D27">
        <v>96</v>
      </c>
      <c r="E27">
        <v>55</v>
      </c>
      <c r="F27">
        <v>81</v>
      </c>
      <c r="G27">
        <v>91</v>
      </c>
      <c r="H27">
        <v>45</v>
      </c>
      <c r="I27">
        <v>80</v>
      </c>
      <c r="K27" s="13"/>
      <c r="L27" s="24"/>
      <c r="M27" s="13"/>
      <c r="N27" s="13"/>
      <c r="O27" s="13"/>
      <c r="P27" s="13"/>
      <c r="Q27" s="13"/>
      <c r="R27" s="13"/>
      <c r="S27" s="13"/>
      <c r="T27" s="13"/>
      <c r="U27" s="13"/>
      <c r="V27" s="13"/>
      <c r="W27" s="13"/>
      <c r="X27" s="13"/>
    </row>
    <row r="28" spans="1:24" ht="15.75" customHeight="1">
      <c r="A28" s="13"/>
      <c r="B28" s="28" t="s">
        <v>238</v>
      </c>
      <c r="C28">
        <v>84</v>
      </c>
      <c r="D28">
        <v>84</v>
      </c>
      <c r="E28">
        <v>85</v>
      </c>
      <c r="F28">
        <v>84</v>
      </c>
      <c r="G28">
        <v>84</v>
      </c>
      <c r="H28">
        <v>64</v>
      </c>
      <c r="I28">
        <v>77</v>
      </c>
      <c r="K28" s="13"/>
      <c r="L28" s="24"/>
      <c r="M28" s="13"/>
      <c r="N28" s="13"/>
      <c r="O28" s="13"/>
      <c r="P28" s="13"/>
      <c r="Q28" s="13"/>
      <c r="R28" s="13"/>
      <c r="S28" s="13"/>
      <c r="T28" s="13"/>
      <c r="U28" s="13"/>
      <c r="V28" s="13"/>
      <c r="W28" s="13"/>
      <c r="X28" s="13"/>
    </row>
    <row r="29" spans="1:24" ht="15.75" customHeight="1">
      <c r="A29" s="13"/>
      <c r="B29" s="28" t="s">
        <v>239</v>
      </c>
      <c r="C29">
        <v>89</v>
      </c>
      <c r="D29">
        <v>87</v>
      </c>
      <c r="E29">
        <v>79</v>
      </c>
      <c r="F29">
        <v>94</v>
      </c>
      <c r="G29">
        <v>89</v>
      </c>
      <c r="H29">
        <v>58</v>
      </c>
      <c r="I29">
        <v>79</v>
      </c>
      <c r="K29" s="13"/>
      <c r="L29" s="24"/>
      <c r="M29" s="13"/>
      <c r="N29" s="13"/>
      <c r="O29" s="13"/>
      <c r="P29" s="13"/>
      <c r="Q29" s="13"/>
      <c r="R29" s="13"/>
      <c r="S29" s="13"/>
      <c r="T29" s="13"/>
      <c r="U29" s="13"/>
      <c r="V29" s="13"/>
      <c r="W29" s="13"/>
      <c r="X29" s="13"/>
    </row>
    <row r="30" spans="1:24" ht="15.75" customHeight="1">
      <c r="A30" s="13"/>
      <c r="B30" s="28" t="s">
        <v>240</v>
      </c>
      <c r="C30">
        <v>76</v>
      </c>
      <c r="D30">
        <v>85</v>
      </c>
      <c r="E30">
        <v>82</v>
      </c>
      <c r="F30">
        <v>93</v>
      </c>
      <c r="G30">
        <v>94</v>
      </c>
      <c r="H30">
        <v>75</v>
      </c>
      <c r="I30">
        <v>91</v>
      </c>
      <c r="K30" s="13"/>
      <c r="L30" s="24"/>
      <c r="M30" s="13"/>
      <c r="N30" s="13"/>
      <c r="O30" s="13"/>
      <c r="P30" s="13"/>
      <c r="Q30" s="13"/>
      <c r="R30" s="13"/>
      <c r="S30" s="13"/>
      <c r="T30" s="13"/>
      <c r="U30" s="13"/>
      <c r="V30" s="13"/>
      <c r="W30" s="13"/>
      <c r="X30" s="13"/>
    </row>
    <row r="31" spans="1:24" ht="15.75" customHeight="1">
      <c r="A31" s="13"/>
      <c r="B31" s="28" t="s">
        <v>241</v>
      </c>
      <c r="C31">
        <v>87</v>
      </c>
      <c r="D31">
        <v>87</v>
      </c>
      <c r="E31">
        <v>75</v>
      </c>
      <c r="F31">
        <v>95</v>
      </c>
      <c r="G31">
        <v>85</v>
      </c>
      <c r="H31">
        <v>89</v>
      </c>
      <c r="I31">
        <v>81</v>
      </c>
      <c r="K31" s="13"/>
      <c r="L31" s="24"/>
      <c r="M31" s="13"/>
      <c r="N31" s="13"/>
      <c r="O31" s="13"/>
      <c r="P31" s="13"/>
      <c r="Q31" s="13"/>
      <c r="R31" s="13"/>
      <c r="S31" s="13"/>
      <c r="T31" s="13"/>
      <c r="U31" s="13"/>
      <c r="V31" s="13"/>
      <c r="W31" s="13"/>
      <c r="X31" s="13"/>
    </row>
    <row r="32" spans="1:24" ht="15.75" customHeight="1">
      <c r="A32" s="13"/>
      <c r="B32" s="28" t="s">
        <v>242</v>
      </c>
      <c r="C32">
        <v>94</v>
      </c>
      <c r="D32">
        <v>75</v>
      </c>
      <c r="E32">
        <v>71</v>
      </c>
      <c r="F32">
        <v>77</v>
      </c>
      <c r="G32">
        <v>78</v>
      </c>
      <c r="H32">
        <v>72</v>
      </c>
      <c r="I32">
        <v>74</v>
      </c>
      <c r="K32" s="13"/>
      <c r="L32" s="24"/>
      <c r="M32" s="13"/>
      <c r="N32" s="13"/>
      <c r="O32" s="13"/>
      <c r="P32" s="13"/>
      <c r="Q32" s="13"/>
      <c r="R32" s="13"/>
      <c r="S32" s="13"/>
      <c r="T32" s="13"/>
      <c r="U32" s="13"/>
      <c r="V32" s="13"/>
      <c r="W32" s="13"/>
      <c r="X32" s="13"/>
    </row>
    <row r="33" spans="1:24" ht="15.75" customHeight="1">
      <c r="A33" s="13"/>
      <c r="K33" s="13"/>
      <c r="L33" s="24"/>
      <c r="M33" s="13"/>
      <c r="N33" s="13"/>
      <c r="O33" s="13"/>
      <c r="P33" s="13"/>
      <c r="Q33" s="13"/>
      <c r="R33" s="13"/>
      <c r="S33" s="13"/>
      <c r="T33" s="13"/>
      <c r="U33" s="13"/>
      <c r="V33" s="13"/>
      <c r="W33" s="13"/>
      <c r="X33" s="13"/>
    </row>
    <row r="34" spans="1:24" ht="15.75" customHeight="1">
      <c r="A34" s="13"/>
      <c r="B34" s="13"/>
      <c r="C34" s="13"/>
      <c r="D34" s="13"/>
      <c r="E34" s="13"/>
      <c r="F34" s="13"/>
      <c r="G34" s="13"/>
      <c r="H34" s="13"/>
      <c r="I34" s="13"/>
      <c r="J34" s="13"/>
      <c r="K34" s="13"/>
      <c r="L34" s="24"/>
      <c r="M34" s="13"/>
      <c r="N34" s="13"/>
      <c r="O34" s="13"/>
      <c r="P34" s="13"/>
      <c r="Q34" s="13"/>
      <c r="R34" s="13"/>
      <c r="S34" s="13"/>
      <c r="T34" s="13"/>
      <c r="U34" s="13"/>
      <c r="V34" s="13"/>
      <c r="W34" s="13"/>
      <c r="X34" s="13"/>
    </row>
    <row r="35" spans="1:24" ht="15.75" customHeight="1">
      <c r="A35" s="13"/>
      <c r="B35" s="13"/>
      <c r="C35" s="13"/>
      <c r="D35" s="13"/>
      <c r="E35" s="13"/>
      <c r="F35" s="13"/>
      <c r="G35" s="13"/>
      <c r="H35" s="13"/>
      <c r="I35" s="13"/>
      <c r="J35" s="13"/>
      <c r="K35" s="13"/>
      <c r="L35" s="24"/>
      <c r="M35" s="13"/>
      <c r="N35" s="13"/>
      <c r="O35" s="13"/>
      <c r="P35" s="13"/>
      <c r="Q35" s="13"/>
      <c r="R35" s="13"/>
      <c r="S35" s="13"/>
      <c r="T35" s="13"/>
      <c r="U35" s="13"/>
      <c r="V35" s="13"/>
      <c r="W35" s="13"/>
      <c r="X35" s="13"/>
    </row>
    <row r="36" spans="1:24" ht="15.75" customHeight="1">
      <c r="A36" s="13"/>
      <c r="B36" s="13"/>
      <c r="C36" s="13"/>
      <c r="D36" s="13"/>
      <c r="E36" s="13"/>
      <c r="F36" s="13"/>
      <c r="G36" s="13"/>
      <c r="H36" s="13"/>
      <c r="I36" s="13"/>
      <c r="J36" s="13"/>
      <c r="K36" s="13"/>
      <c r="L36" s="24"/>
      <c r="M36" s="13"/>
      <c r="N36" s="13"/>
      <c r="O36" s="13"/>
      <c r="P36" s="13"/>
      <c r="Q36" s="13"/>
      <c r="R36" s="13"/>
      <c r="S36" s="13"/>
      <c r="T36" s="13"/>
      <c r="U36" s="13"/>
      <c r="V36" s="13"/>
      <c r="W36" s="13"/>
      <c r="X36" s="13"/>
    </row>
    <row r="37" spans="1:24" ht="15.75" customHeight="1">
      <c r="A37" s="13"/>
      <c r="B37" s="13"/>
      <c r="C37" s="13"/>
      <c r="D37" s="13"/>
      <c r="E37" s="13"/>
      <c r="F37" s="13"/>
      <c r="G37" s="13"/>
      <c r="H37" s="13"/>
      <c r="I37" s="13"/>
      <c r="J37" s="13"/>
      <c r="K37" s="13"/>
      <c r="L37" s="24"/>
      <c r="M37" s="13"/>
      <c r="N37" s="13"/>
      <c r="O37" s="13"/>
      <c r="P37" s="13"/>
      <c r="Q37" s="13"/>
      <c r="R37" s="13"/>
      <c r="S37" s="13"/>
      <c r="T37" s="13"/>
      <c r="U37" s="13"/>
      <c r="V37" s="13"/>
      <c r="W37" s="13"/>
      <c r="X37" s="13"/>
    </row>
    <row r="38" spans="1:24" ht="15.75" customHeight="1">
      <c r="A38" s="13"/>
      <c r="B38" s="13"/>
      <c r="C38" s="13"/>
      <c r="D38" s="13"/>
      <c r="E38" s="13"/>
      <c r="F38" s="13"/>
      <c r="G38" s="13"/>
      <c r="H38" s="13"/>
      <c r="I38" s="13"/>
      <c r="J38" s="13"/>
      <c r="K38" s="13"/>
      <c r="L38" s="24"/>
      <c r="M38" s="13"/>
      <c r="N38" s="13"/>
      <c r="O38" s="13"/>
      <c r="P38" s="13"/>
      <c r="Q38" s="13"/>
      <c r="R38" s="13"/>
      <c r="S38" s="13"/>
      <c r="T38" s="13"/>
      <c r="U38" s="13"/>
      <c r="V38" s="13"/>
      <c r="W38" s="13"/>
      <c r="X38" s="13"/>
    </row>
    <row r="39" spans="1:24" ht="15.75" customHeight="1">
      <c r="A39" s="13"/>
      <c r="B39" s="13"/>
      <c r="C39" s="13"/>
      <c r="D39" s="13"/>
      <c r="E39" s="13"/>
      <c r="F39" s="13"/>
      <c r="G39" s="13"/>
      <c r="H39" s="13"/>
      <c r="I39" s="13"/>
      <c r="J39" s="13"/>
      <c r="K39" s="13"/>
      <c r="L39" s="24"/>
      <c r="M39" s="13"/>
      <c r="N39" s="13"/>
      <c r="O39" s="13"/>
      <c r="P39" s="13"/>
      <c r="Q39" s="13"/>
      <c r="R39" s="13"/>
      <c r="S39" s="13"/>
      <c r="T39" s="13"/>
      <c r="U39" s="13"/>
      <c r="V39" s="13"/>
      <c r="W39" s="13"/>
      <c r="X39" s="13"/>
    </row>
    <row r="40" spans="1:24" ht="15.75" customHeight="1">
      <c r="A40" s="13"/>
      <c r="B40" s="13"/>
      <c r="C40" s="13"/>
      <c r="D40" s="13"/>
      <c r="E40" s="13"/>
      <c r="F40" s="13"/>
      <c r="G40" s="13"/>
      <c r="H40" s="13"/>
      <c r="I40" s="13"/>
      <c r="J40" s="13"/>
      <c r="K40" s="13"/>
      <c r="L40" s="24"/>
      <c r="M40" s="13"/>
      <c r="N40" s="13"/>
      <c r="O40" s="13"/>
      <c r="P40" s="13"/>
      <c r="Q40" s="13"/>
      <c r="R40" s="13"/>
      <c r="S40" s="13"/>
      <c r="T40" s="13"/>
      <c r="U40" s="13"/>
      <c r="V40" s="13"/>
      <c r="W40" s="13"/>
      <c r="X40" s="13"/>
    </row>
    <row r="41" spans="1:24" ht="15.75" customHeight="1">
      <c r="A41" s="13"/>
      <c r="B41" s="13"/>
      <c r="C41" s="13"/>
      <c r="D41" s="13"/>
      <c r="E41" s="13"/>
      <c r="F41" s="13"/>
      <c r="G41" s="13"/>
      <c r="H41" s="13"/>
      <c r="I41" s="13"/>
      <c r="J41" s="13"/>
      <c r="K41" s="13"/>
      <c r="L41" s="24"/>
      <c r="M41" s="13"/>
      <c r="N41" s="13"/>
      <c r="O41" s="13"/>
      <c r="P41" s="13"/>
      <c r="Q41" s="13"/>
      <c r="R41" s="13"/>
      <c r="S41" s="13"/>
      <c r="T41" s="13"/>
      <c r="U41" s="13"/>
      <c r="V41" s="13"/>
      <c r="W41" s="13"/>
      <c r="X41" s="13"/>
    </row>
    <row r="42" spans="1:24" ht="15.75" customHeight="1">
      <c r="A42" s="13"/>
      <c r="B42" s="13"/>
      <c r="C42" s="13"/>
      <c r="D42" s="13"/>
      <c r="E42" s="13"/>
      <c r="F42" s="13"/>
      <c r="G42" s="13"/>
      <c r="H42" s="13"/>
      <c r="I42" s="13"/>
      <c r="J42" s="13"/>
      <c r="K42" s="13"/>
      <c r="L42" s="24"/>
      <c r="M42" s="21"/>
      <c r="N42" s="13"/>
      <c r="O42" s="13"/>
      <c r="P42" s="13"/>
      <c r="Q42" s="13"/>
      <c r="R42" s="13"/>
      <c r="S42" s="13"/>
      <c r="T42" s="13"/>
      <c r="U42" s="13"/>
      <c r="V42" s="13"/>
      <c r="W42" s="13"/>
      <c r="X42" s="13"/>
    </row>
    <row r="43" spans="1:2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P3"/>
  </mergeCells>
  <conditionalFormatting pivot="1" sqref="C9:I32">
    <cfRule type="colorScale" priority="1">
      <colorScale>
        <cfvo type="min"/>
        <cfvo type="percentile" val="50"/>
        <cfvo type="max"/>
        <color rgb="FFF8696B"/>
        <color rgb="FFFCFCFF"/>
        <color rgb="FF5A8AC6"/>
      </colorScale>
    </cfRule>
  </conditionalFormatting>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00"/>
  <sheetViews>
    <sheetView showGridLines="0" topLeftCell="A34" zoomScale="68" workbookViewId="0">
      <selection activeCell="P36" sqref="P36"/>
    </sheetView>
  </sheetViews>
  <sheetFormatPr defaultColWidth="14.453125" defaultRowHeight="15" customHeight="1"/>
  <cols>
    <col min="1" max="1" width="3" customWidth="1"/>
    <col min="2" max="2" width="27.7265625" bestFit="1" customWidth="1"/>
    <col min="3" max="3" width="16.36328125" bestFit="1" customWidth="1"/>
    <col min="4" max="4" width="4.7265625" bestFit="1" customWidth="1"/>
    <col min="5" max="5" width="4" bestFit="1" customWidth="1"/>
    <col min="6" max="6" width="4.90625" bestFit="1" customWidth="1"/>
    <col min="7" max="7" width="4" bestFit="1" customWidth="1"/>
    <col min="8" max="8" width="3" bestFit="1" customWidth="1"/>
    <col min="9" max="9" width="3.453125" bestFit="1" customWidth="1"/>
    <col min="10" max="10" width="10.7265625" bestFit="1" customWidth="1"/>
    <col min="11" max="11" width="15.6328125" bestFit="1" customWidth="1"/>
    <col min="12" max="12" width="8.7265625" bestFit="1" customWidth="1"/>
    <col min="13" max="13" width="13.453125" customWidth="1"/>
    <col min="14" max="16" width="9.08984375" customWidth="1"/>
    <col min="17"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3"/>
      <c r="R2" s="3"/>
      <c r="S2" s="3"/>
      <c r="T2" s="3"/>
      <c r="U2" s="3"/>
      <c r="V2" s="3"/>
      <c r="W2" s="13"/>
      <c r="X2" s="13"/>
    </row>
    <row r="3" spans="1:24" ht="30" customHeight="1">
      <c r="A3" s="13"/>
      <c r="B3" s="46" t="s">
        <v>6</v>
      </c>
      <c r="C3" s="38"/>
      <c r="D3" s="38"/>
      <c r="E3" s="38"/>
      <c r="F3" s="38"/>
      <c r="G3" s="38"/>
      <c r="H3" s="38"/>
      <c r="I3" s="38"/>
      <c r="J3" s="38"/>
      <c r="K3" s="38"/>
      <c r="L3" s="38"/>
      <c r="M3" s="38"/>
      <c r="N3" s="38"/>
      <c r="O3" s="38"/>
      <c r="P3" s="38"/>
      <c r="Q3" s="13"/>
      <c r="R3" s="13"/>
      <c r="S3" s="13"/>
      <c r="T3" s="13"/>
      <c r="U3" s="13"/>
      <c r="V3" s="13"/>
      <c r="W3" s="13"/>
      <c r="X3" s="13"/>
    </row>
    <row r="4" spans="1:24" ht="14.5">
      <c r="A4" s="13"/>
      <c r="B4" s="21"/>
      <c r="C4" s="13"/>
      <c r="D4" s="13"/>
      <c r="E4" s="13"/>
      <c r="F4" s="13"/>
      <c r="G4" s="13"/>
      <c r="H4" s="13"/>
      <c r="I4" s="13"/>
      <c r="J4" s="13"/>
      <c r="K4" s="13"/>
      <c r="L4" s="13"/>
      <c r="M4" s="13"/>
      <c r="N4" s="13"/>
      <c r="O4" s="13"/>
      <c r="P4" s="13"/>
      <c r="Q4" s="13"/>
      <c r="R4" s="13"/>
      <c r="S4" s="13"/>
      <c r="T4" s="13"/>
      <c r="U4" s="13"/>
      <c r="V4" s="13"/>
      <c r="W4" s="13"/>
      <c r="X4" s="13"/>
    </row>
    <row r="5" spans="1:24" ht="14.5">
      <c r="A5" s="13"/>
      <c r="B5" s="27" t="s">
        <v>217</v>
      </c>
      <c r="C5" s="27" t="s">
        <v>244</v>
      </c>
      <c r="K5" s="13"/>
      <c r="L5" s="13"/>
      <c r="M5" s="13"/>
      <c r="N5" s="13"/>
      <c r="O5" s="13"/>
      <c r="P5" s="13"/>
      <c r="Q5" s="13"/>
      <c r="R5" s="13"/>
      <c r="S5" s="13"/>
      <c r="T5" s="13"/>
      <c r="U5" s="13"/>
      <c r="V5" s="13"/>
      <c r="W5" s="13"/>
      <c r="X5" s="13"/>
    </row>
    <row r="6" spans="1:24" ht="14.5">
      <c r="A6" s="13"/>
      <c r="B6" s="27" t="s">
        <v>218</v>
      </c>
      <c r="C6" t="s">
        <v>245</v>
      </c>
      <c r="D6" t="s">
        <v>246</v>
      </c>
      <c r="E6" t="s">
        <v>247</v>
      </c>
      <c r="F6" t="s">
        <v>248</v>
      </c>
      <c r="G6" t="s">
        <v>249</v>
      </c>
      <c r="H6" t="s">
        <v>250</v>
      </c>
      <c r="I6" t="s">
        <v>251</v>
      </c>
      <c r="K6" s="13"/>
      <c r="L6" s="13"/>
      <c r="M6" s="13"/>
      <c r="N6" s="13"/>
      <c r="O6" s="13"/>
      <c r="P6" s="13"/>
      <c r="Q6" s="13"/>
      <c r="R6" s="13"/>
      <c r="S6" s="13"/>
      <c r="T6" s="13"/>
      <c r="U6" s="13"/>
      <c r="V6" s="13"/>
      <c r="W6" s="13"/>
      <c r="X6" s="13"/>
    </row>
    <row r="7" spans="1:24" ht="14.5">
      <c r="A7" s="13"/>
      <c r="B7" s="28" t="s">
        <v>219</v>
      </c>
      <c r="C7">
        <v>79</v>
      </c>
      <c r="D7">
        <v>81</v>
      </c>
      <c r="E7">
        <v>94</v>
      </c>
      <c r="F7">
        <v>91</v>
      </c>
      <c r="G7">
        <v>81</v>
      </c>
      <c r="H7">
        <v>76</v>
      </c>
      <c r="I7">
        <v>57</v>
      </c>
      <c r="K7" s="13"/>
      <c r="L7" s="13"/>
      <c r="M7" s="13"/>
      <c r="N7" s="13"/>
      <c r="O7" s="13"/>
      <c r="P7" s="13"/>
      <c r="Q7" s="13"/>
      <c r="R7" s="13"/>
      <c r="S7" s="13"/>
      <c r="T7" s="13"/>
      <c r="U7" s="13"/>
      <c r="V7" s="13"/>
      <c r="W7" s="13"/>
      <c r="X7" s="13"/>
    </row>
    <row r="8" spans="1:24" ht="14.5">
      <c r="A8" s="13"/>
      <c r="B8" s="28" t="s">
        <v>220</v>
      </c>
      <c r="C8">
        <v>84</v>
      </c>
      <c r="D8">
        <v>76</v>
      </c>
      <c r="E8">
        <v>83</v>
      </c>
      <c r="F8">
        <v>78</v>
      </c>
      <c r="G8">
        <v>73</v>
      </c>
      <c r="H8">
        <v>75</v>
      </c>
      <c r="I8">
        <v>90</v>
      </c>
      <c r="K8" s="13"/>
      <c r="L8" s="13"/>
      <c r="M8" s="13"/>
      <c r="N8" s="13"/>
      <c r="O8" s="13"/>
      <c r="P8" s="13"/>
      <c r="Q8" s="13"/>
      <c r="R8" s="13"/>
      <c r="S8" s="13"/>
      <c r="T8" s="13"/>
      <c r="U8" s="13"/>
      <c r="V8" s="13"/>
      <c r="W8" s="13"/>
      <c r="X8" s="13"/>
    </row>
    <row r="9" spans="1:24" ht="14.5">
      <c r="A9" s="13"/>
      <c r="B9" s="28" t="s">
        <v>221</v>
      </c>
      <c r="C9">
        <v>79</v>
      </c>
      <c r="D9">
        <v>50</v>
      </c>
      <c r="E9">
        <v>56</v>
      </c>
      <c r="F9">
        <v>80</v>
      </c>
      <c r="G9">
        <v>60</v>
      </c>
      <c r="H9">
        <v>92</v>
      </c>
      <c r="I9">
        <v>94</v>
      </c>
      <c r="K9" s="13"/>
      <c r="L9" s="13"/>
      <c r="M9" s="13"/>
      <c r="N9" s="13"/>
      <c r="O9" s="13"/>
      <c r="P9" s="13"/>
      <c r="Q9" s="13"/>
      <c r="R9" s="13"/>
      <c r="S9" s="13"/>
      <c r="T9" s="13"/>
      <c r="U9" s="13"/>
      <c r="V9" s="13"/>
      <c r="W9" s="13"/>
      <c r="X9" s="13"/>
    </row>
    <row r="10" spans="1:24" ht="14.5">
      <c r="A10" s="13"/>
      <c r="B10" s="28" t="s">
        <v>222</v>
      </c>
      <c r="C10">
        <v>67</v>
      </c>
      <c r="D10">
        <v>0</v>
      </c>
      <c r="E10">
        <v>44</v>
      </c>
      <c r="F10">
        <v>56</v>
      </c>
      <c r="G10">
        <v>100</v>
      </c>
      <c r="H10">
        <v>67</v>
      </c>
      <c r="I10">
        <v>70</v>
      </c>
      <c r="K10" s="13"/>
      <c r="L10" s="13"/>
      <c r="M10" s="13"/>
      <c r="N10" s="13"/>
      <c r="O10" s="13"/>
      <c r="P10" s="13"/>
      <c r="Q10" s="13"/>
      <c r="R10" s="13"/>
      <c r="S10" s="13"/>
      <c r="T10" s="13"/>
      <c r="U10" s="13"/>
      <c r="V10" s="13"/>
      <c r="W10" s="13"/>
      <c r="X10" s="13"/>
    </row>
    <row r="11" spans="1:24" ht="14.5">
      <c r="A11" s="13"/>
      <c r="B11" s="28" t="s">
        <v>223</v>
      </c>
      <c r="C11">
        <v>45</v>
      </c>
      <c r="D11">
        <v>50</v>
      </c>
      <c r="E11">
        <v>57</v>
      </c>
      <c r="F11">
        <v>43</v>
      </c>
      <c r="G11">
        <v>50</v>
      </c>
      <c r="H11">
        <v>20</v>
      </c>
      <c r="I11">
        <v>55</v>
      </c>
      <c r="K11" s="13"/>
      <c r="L11" s="13"/>
      <c r="M11" s="13"/>
      <c r="N11" s="13"/>
      <c r="O11" s="13"/>
      <c r="P11" s="13"/>
      <c r="Q11" s="13"/>
      <c r="R11" s="13"/>
      <c r="S11" s="13"/>
      <c r="T11" s="13"/>
      <c r="U11" s="13"/>
      <c r="V11" s="13"/>
      <c r="W11" s="13"/>
      <c r="X11" s="13"/>
    </row>
    <row r="12" spans="1:24" ht="14.5">
      <c r="A12" s="13"/>
      <c r="B12" s="28" t="s">
        <v>224</v>
      </c>
      <c r="C12">
        <v>85</v>
      </c>
      <c r="D12">
        <v>50</v>
      </c>
      <c r="E12">
        <v>100</v>
      </c>
      <c r="F12">
        <v>50</v>
      </c>
      <c r="G12">
        <v>60</v>
      </c>
      <c r="H12">
        <v>83</v>
      </c>
      <c r="I12">
        <v>77</v>
      </c>
      <c r="K12" s="13"/>
      <c r="L12" s="13"/>
      <c r="M12" s="13"/>
      <c r="N12" s="13"/>
      <c r="O12" s="13"/>
      <c r="P12" s="13"/>
      <c r="Q12" s="13"/>
      <c r="R12" s="13"/>
      <c r="S12" s="13"/>
      <c r="T12" s="13"/>
      <c r="U12" s="13"/>
      <c r="V12" s="13"/>
      <c r="W12" s="13"/>
      <c r="X12" s="13"/>
    </row>
    <row r="13" spans="1:24" ht="14.5">
      <c r="A13" s="13"/>
      <c r="B13" s="28" t="s">
        <v>225</v>
      </c>
      <c r="C13">
        <v>80</v>
      </c>
      <c r="D13">
        <v>36</v>
      </c>
      <c r="E13">
        <v>73</v>
      </c>
      <c r="F13">
        <v>18</v>
      </c>
      <c r="G13">
        <v>57</v>
      </c>
      <c r="H13">
        <v>60</v>
      </c>
      <c r="I13">
        <v>83</v>
      </c>
      <c r="K13" s="13"/>
      <c r="L13" s="13"/>
      <c r="M13" s="13"/>
      <c r="N13" s="13"/>
      <c r="O13" s="13"/>
      <c r="P13" s="13"/>
      <c r="Q13" s="13"/>
      <c r="R13" s="13"/>
      <c r="S13" s="13"/>
      <c r="T13" s="13"/>
      <c r="U13" s="13"/>
      <c r="V13" s="13"/>
      <c r="W13" s="13"/>
      <c r="X13" s="13"/>
    </row>
    <row r="14" spans="1:24" ht="14.5">
      <c r="A14" s="13"/>
      <c r="B14" s="28" t="s">
        <v>226</v>
      </c>
      <c r="C14">
        <v>71</v>
      </c>
      <c r="D14">
        <v>56</v>
      </c>
      <c r="E14">
        <v>69</v>
      </c>
      <c r="F14">
        <v>53</v>
      </c>
      <c r="G14">
        <v>52</v>
      </c>
      <c r="H14">
        <v>55</v>
      </c>
      <c r="I14">
        <v>78</v>
      </c>
      <c r="K14" s="13"/>
      <c r="L14" s="13"/>
      <c r="M14" s="13"/>
      <c r="N14" s="13"/>
      <c r="O14" s="13"/>
      <c r="P14" s="13"/>
      <c r="Q14" s="13"/>
      <c r="R14" s="13"/>
      <c r="S14" s="13"/>
      <c r="T14" s="13"/>
      <c r="U14" s="13"/>
      <c r="V14" s="13"/>
      <c r="W14" s="13"/>
      <c r="X14" s="13"/>
    </row>
    <row r="15" spans="1:24" ht="14.5">
      <c r="A15" s="13"/>
      <c r="B15" s="28" t="s">
        <v>227</v>
      </c>
      <c r="C15">
        <v>79</v>
      </c>
      <c r="D15">
        <v>53</v>
      </c>
      <c r="E15">
        <v>68</v>
      </c>
      <c r="F15">
        <v>39</v>
      </c>
      <c r="G15">
        <v>56</v>
      </c>
      <c r="H15">
        <v>65</v>
      </c>
      <c r="I15">
        <v>59</v>
      </c>
      <c r="K15" s="13"/>
      <c r="L15" s="13"/>
      <c r="M15" s="13"/>
      <c r="N15" s="13"/>
      <c r="O15" s="13"/>
      <c r="P15" s="13"/>
      <c r="Q15" s="13"/>
      <c r="R15" s="13"/>
      <c r="S15" s="13"/>
      <c r="T15" s="13"/>
      <c r="U15" s="13"/>
      <c r="V15" s="13"/>
      <c r="W15" s="13"/>
      <c r="X15" s="13"/>
    </row>
    <row r="16" spans="1:24" ht="14.5">
      <c r="A16" s="13"/>
      <c r="B16" s="28" t="s">
        <v>228</v>
      </c>
      <c r="C16">
        <v>59</v>
      </c>
      <c r="D16">
        <v>58</v>
      </c>
      <c r="E16">
        <v>76</v>
      </c>
      <c r="F16">
        <v>51</v>
      </c>
      <c r="G16">
        <v>57</v>
      </c>
      <c r="H16">
        <v>67</v>
      </c>
      <c r="I16">
        <v>79</v>
      </c>
      <c r="K16" s="13"/>
      <c r="L16" s="13"/>
      <c r="M16" s="13"/>
      <c r="N16" s="13"/>
      <c r="O16" s="13"/>
      <c r="P16" s="13"/>
      <c r="Q16" s="13"/>
      <c r="R16" s="13"/>
      <c r="S16" s="13"/>
      <c r="T16" s="13"/>
      <c r="U16" s="13"/>
      <c r="V16" s="13"/>
      <c r="W16" s="13"/>
      <c r="X16" s="13"/>
    </row>
    <row r="17" spans="1:24" ht="14.5">
      <c r="A17" s="13"/>
      <c r="B17" s="28" t="s">
        <v>229</v>
      </c>
      <c r="C17">
        <v>54</v>
      </c>
      <c r="D17">
        <v>56</v>
      </c>
      <c r="E17">
        <v>76</v>
      </c>
      <c r="F17">
        <v>67</v>
      </c>
      <c r="G17">
        <v>79</v>
      </c>
      <c r="H17">
        <v>67</v>
      </c>
      <c r="I17">
        <v>66</v>
      </c>
      <c r="K17" s="13"/>
      <c r="L17" s="13"/>
      <c r="M17" s="13"/>
      <c r="N17" s="13"/>
      <c r="O17" s="13"/>
      <c r="P17" s="13"/>
      <c r="Q17" s="13"/>
      <c r="R17" s="13"/>
      <c r="S17" s="13"/>
      <c r="T17" s="13"/>
      <c r="U17" s="13"/>
      <c r="V17" s="13"/>
      <c r="W17" s="13"/>
      <c r="X17" s="13"/>
    </row>
    <row r="18" spans="1:24" ht="14.5">
      <c r="A18" s="13"/>
      <c r="B18" s="28" t="s">
        <v>230</v>
      </c>
      <c r="C18">
        <v>85</v>
      </c>
      <c r="D18">
        <v>77</v>
      </c>
      <c r="E18">
        <v>86</v>
      </c>
      <c r="F18">
        <v>80</v>
      </c>
      <c r="G18">
        <v>89</v>
      </c>
      <c r="H18">
        <v>79</v>
      </c>
      <c r="I18">
        <v>51</v>
      </c>
      <c r="K18" s="13"/>
      <c r="L18" s="13"/>
      <c r="M18" s="13"/>
      <c r="N18" s="13"/>
      <c r="O18" s="13"/>
      <c r="P18" s="13"/>
      <c r="Q18" s="13"/>
      <c r="R18" s="13"/>
      <c r="S18" s="13"/>
      <c r="T18" s="13"/>
      <c r="U18" s="13"/>
      <c r="V18" s="13"/>
      <c r="W18" s="13"/>
      <c r="X18" s="13"/>
    </row>
    <row r="19" spans="1:24" ht="14.5">
      <c r="A19" s="13"/>
      <c r="B19" s="28" t="s">
        <v>231</v>
      </c>
      <c r="C19">
        <v>71</v>
      </c>
      <c r="D19">
        <v>82</v>
      </c>
      <c r="E19">
        <v>88</v>
      </c>
      <c r="F19">
        <v>71</v>
      </c>
      <c r="G19">
        <v>85</v>
      </c>
      <c r="H19">
        <v>73</v>
      </c>
      <c r="I19">
        <v>52</v>
      </c>
      <c r="K19" s="13"/>
      <c r="L19" s="13"/>
      <c r="M19" s="13"/>
      <c r="N19" s="13"/>
      <c r="O19" s="13"/>
      <c r="P19" s="13"/>
      <c r="Q19" s="13"/>
      <c r="R19" s="13"/>
      <c r="S19" s="13"/>
      <c r="T19" s="13"/>
      <c r="U19" s="13"/>
      <c r="V19" s="13"/>
      <c r="W19" s="13"/>
      <c r="X19" s="13"/>
    </row>
    <row r="20" spans="1:24" ht="14.5">
      <c r="A20" s="13"/>
      <c r="B20" s="28" t="s">
        <v>232</v>
      </c>
      <c r="C20">
        <v>70</v>
      </c>
      <c r="D20">
        <v>82</v>
      </c>
      <c r="E20">
        <v>91</v>
      </c>
      <c r="F20">
        <v>87</v>
      </c>
      <c r="G20">
        <v>89</v>
      </c>
      <c r="H20">
        <v>79</v>
      </c>
      <c r="I20">
        <v>66</v>
      </c>
      <c r="K20" s="13"/>
      <c r="L20" s="13"/>
      <c r="M20" s="13"/>
      <c r="N20" s="13"/>
      <c r="O20" s="13"/>
      <c r="P20" s="13"/>
      <c r="Q20" s="13"/>
      <c r="R20" s="13"/>
      <c r="S20" s="13"/>
      <c r="T20" s="13"/>
      <c r="U20" s="13"/>
      <c r="V20" s="13"/>
      <c r="W20" s="13"/>
      <c r="X20" s="13"/>
    </row>
    <row r="21" spans="1:24" ht="15.75" customHeight="1">
      <c r="A21" s="13"/>
      <c r="B21" s="28" t="s">
        <v>233</v>
      </c>
      <c r="C21">
        <v>69</v>
      </c>
      <c r="D21">
        <v>88</v>
      </c>
      <c r="E21">
        <v>84</v>
      </c>
      <c r="F21">
        <v>92</v>
      </c>
      <c r="G21">
        <v>88</v>
      </c>
      <c r="H21">
        <v>78</v>
      </c>
      <c r="I21">
        <v>82</v>
      </c>
      <c r="K21" s="13"/>
      <c r="L21" s="13"/>
      <c r="M21" s="13"/>
      <c r="N21" s="13"/>
      <c r="O21" s="13"/>
      <c r="P21" s="13"/>
      <c r="Q21" s="13"/>
      <c r="R21" s="13"/>
      <c r="S21" s="13"/>
      <c r="T21" s="13"/>
      <c r="U21" s="13"/>
      <c r="V21" s="13"/>
      <c r="W21" s="13"/>
      <c r="X21" s="13"/>
    </row>
    <row r="22" spans="1:24" ht="15.75" customHeight="1">
      <c r="A22" s="13"/>
      <c r="B22" s="28" t="s">
        <v>234</v>
      </c>
      <c r="C22">
        <v>82</v>
      </c>
      <c r="D22">
        <v>91</v>
      </c>
      <c r="E22">
        <v>95</v>
      </c>
      <c r="F22">
        <v>84</v>
      </c>
      <c r="G22">
        <v>77</v>
      </c>
      <c r="H22">
        <v>82</v>
      </c>
      <c r="I22">
        <v>94</v>
      </c>
      <c r="K22" s="13"/>
      <c r="L22" s="13"/>
      <c r="M22" s="13"/>
      <c r="N22" s="13"/>
      <c r="O22" s="13"/>
      <c r="P22" s="13"/>
      <c r="Q22" s="13"/>
      <c r="R22" s="13"/>
      <c r="S22" s="13"/>
      <c r="T22" s="13"/>
      <c r="U22" s="13"/>
      <c r="V22" s="13"/>
      <c r="W22" s="13"/>
      <c r="X22" s="13"/>
    </row>
    <row r="23" spans="1:24" ht="15.75" customHeight="1">
      <c r="A23" s="13"/>
      <c r="B23" s="28" t="s">
        <v>235</v>
      </c>
      <c r="C23">
        <v>81</v>
      </c>
      <c r="D23">
        <v>100</v>
      </c>
      <c r="E23">
        <v>92</v>
      </c>
      <c r="F23">
        <v>83</v>
      </c>
      <c r="G23">
        <v>84</v>
      </c>
      <c r="H23">
        <v>63</v>
      </c>
      <c r="I23">
        <v>76</v>
      </c>
      <c r="K23" s="13"/>
      <c r="L23" s="13"/>
      <c r="M23" s="13"/>
      <c r="N23" s="13"/>
      <c r="O23" s="13"/>
      <c r="P23" s="13"/>
      <c r="Q23" s="13"/>
      <c r="R23" s="13"/>
      <c r="S23" s="13"/>
      <c r="T23" s="13"/>
      <c r="U23" s="13"/>
      <c r="V23" s="13"/>
      <c r="W23" s="13"/>
      <c r="X23" s="13"/>
    </row>
    <row r="24" spans="1:24" ht="15.75" customHeight="1">
      <c r="A24" s="13"/>
      <c r="B24" s="28" t="s">
        <v>236</v>
      </c>
      <c r="C24">
        <v>68</v>
      </c>
      <c r="D24">
        <v>97</v>
      </c>
      <c r="E24">
        <v>80</v>
      </c>
      <c r="F24">
        <v>92</v>
      </c>
      <c r="G24">
        <v>84</v>
      </c>
      <c r="H24">
        <v>62</v>
      </c>
      <c r="I24">
        <v>82</v>
      </c>
      <c r="K24" s="13"/>
      <c r="L24" s="13"/>
      <c r="M24" s="13"/>
      <c r="N24" s="13"/>
      <c r="O24" s="13"/>
      <c r="P24" s="13"/>
      <c r="Q24" s="13"/>
      <c r="R24" s="13"/>
      <c r="S24" s="13"/>
      <c r="T24" s="13"/>
      <c r="U24" s="13"/>
      <c r="V24" s="13"/>
      <c r="W24" s="13"/>
      <c r="X24" s="13"/>
    </row>
    <row r="25" spans="1:24" ht="15.75" customHeight="1">
      <c r="A25" s="13"/>
      <c r="B25" s="28" t="s">
        <v>237</v>
      </c>
      <c r="C25">
        <v>85</v>
      </c>
      <c r="D25">
        <v>96</v>
      </c>
      <c r="E25">
        <v>55</v>
      </c>
      <c r="F25">
        <v>81</v>
      </c>
      <c r="G25">
        <v>91</v>
      </c>
      <c r="H25">
        <v>45</v>
      </c>
      <c r="I25">
        <v>80</v>
      </c>
      <c r="K25" s="13"/>
      <c r="L25" s="13"/>
      <c r="M25" s="13"/>
      <c r="N25" s="13"/>
      <c r="O25" s="13"/>
      <c r="P25" s="13"/>
      <c r="Q25" s="13"/>
      <c r="R25" s="13"/>
      <c r="S25" s="13"/>
      <c r="T25" s="13"/>
      <c r="U25" s="13"/>
      <c r="V25" s="13"/>
      <c r="W25" s="13"/>
      <c r="X25" s="13"/>
    </row>
    <row r="26" spans="1:24" ht="15.75" customHeight="1">
      <c r="A26" s="13"/>
      <c r="B26" s="28" t="s">
        <v>238</v>
      </c>
      <c r="C26">
        <v>84</v>
      </c>
      <c r="D26">
        <v>84</v>
      </c>
      <c r="E26">
        <v>85</v>
      </c>
      <c r="F26">
        <v>84</v>
      </c>
      <c r="G26">
        <v>84</v>
      </c>
      <c r="H26">
        <v>64</v>
      </c>
      <c r="I26">
        <v>77</v>
      </c>
      <c r="K26" s="13"/>
      <c r="L26" s="13"/>
      <c r="M26" s="13"/>
      <c r="N26" s="13"/>
      <c r="O26" s="13"/>
      <c r="P26" s="13"/>
      <c r="Q26" s="13"/>
      <c r="R26" s="13"/>
      <c r="S26" s="13"/>
      <c r="T26" s="13"/>
      <c r="U26" s="13"/>
      <c r="V26" s="13"/>
      <c r="W26" s="13"/>
      <c r="X26" s="13"/>
    </row>
    <row r="27" spans="1:24" ht="15.75" customHeight="1">
      <c r="A27" s="13"/>
      <c r="B27" s="28" t="s">
        <v>239</v>
      </c>
      <c r="C27">
        <v>89</v>
      </c>
      <c r="D27">
        <v>87</v>
      </c>
      <c r="E27">
        <v>79</v>
      </c>
      <c r="F27">
        <v>94</v>
      </c>
      <c r="G27">
        <v>89</v>
      </c>
      <c r="H27">
        <v>58</v>
      </c>
      <c r="I27">
        <v>79</v>
      </c>
      <c r="K27" s="13"/>
      <c r="L27" s="13"/>
      <c r="M27" s="13"/>
      <c r="N27" s="13"/>
      <c r="O27" s="13"/>
      <c r="P27" s="13"/>
      <c r="Q27" s="13"/>
      <c r="R27" s="13"/>
      <c r="S27" s="13"/>
      <c r="T27" s="13"/>
      <c r="U27" s="13"/>
      <c r="V27" s="13"/>
      <c r="W27" s="13"/>
      <c r="X27" s="13"/>
    </row>
    <row r="28" spans="1:24" ht="15.75" customHeight="1">
      <c r="A28" s="13"/>
      <c r="B28" s="28" t="s">
        <v>240</v>
      </c>
      <c r="C28">
        <v>76</v>
      </c>
      <c r="D28">
        <v>85</v>
      </c>
      <c r="E28">
        <v>82</v>
      </c>
      <c r="F28">
        <v>93</v>
      </c>
      <c r="G28">
        <v>94</v>
      </c>
      <c r="H28">
        <v>75</v>
      </c>
      <c r="I28">
        <v>91</v>
      </c>
      <c r="K28" s="13"/>
      <c r="L28" s="13"/>
      <c r="M28" s="13"/>
      <c r="N28" s="13"/>
      <c r="O28" s="13"/>
      <c r="P28" s="13"/>
      <c r="Q28" s="13"/>
      <c r="R28" s="13"/>
      <c r="S28" s="13"/>
      <c r="T28" s="13"/>
      <c r="U28" s="13"/>
      <c r="V28" s="13"/>
      <c r="W28" s="13"/>
      <c r="X28" s="13"/>
    </row>
    <row r="29" spans="1:24" ht="15.75" customHeight="1">
      <c r="A29" s="13"/>
      <c r="B29" s="28" t="s">
        <v>241</v>
      </c>
      <c r="C29">
        <v>87</v>
      </c>
      <c r="D29">
        <v>87</v>
      </c>
      <c r="E29">
        <v>75</v>
      </c>
      <c r="F29">
        <v>95</v>
      </c>
      <c r="G29">
        <v>85</v>
      </c>
      <c r="H29">
        <v>89</v>
      </c>
      <c r="I29">
        <v>81</v>
      </c>
      <c r="K29" s="13"/>
      <c r="L29" s="13"/>
      <c r="M29" s="13"/>
      <c r="N29" s="13"/>
      <c r="O29" s="13"/>
      <c r="P29" s="13"/>
      <c r="Q29" s="13"/>
      <c r="R29" s="13"/>
      <c r="S29" s="13"/>
      <c r="T29" s="13"/>
      <c r="U29" s="13"/>
      <c r="V29" s="13"/>
      <c r="W29" s="13"/>
      <c r="X29" s="13"/>
    </row>
    <row r="30" spans="1:24" ht="15.75" customHeight="1">
      <c r="A30" s="13"/>
      <c r="B30" s="28" t="s">
        <v>242</v>
      </c>
      <c r="C30">
        <v>94</v>
      </c>
      <c r="D30">
        <v>75</v>
      </c>
      <c r="E30">
        <v>71</v>
      </c>
      <c r="F30">
        <v>77</v>
      </c>
      <c r="G30">
        <v>78</v>
      </c>
      <c r="H30">
        <v>72</v>
      </c>
      <c r="I30">
        <v>74</v>
      </c>
      <c r="K30" s="13"/>
      <c r="L30" s="13"/>
      <c r="M30" s="13"/>
      <c r="N30" s="13"/>
      <c r="O30" s="13"/>
      <c r="P30" s="13"/>
      <c r="Q30" s="13"/>
      <c r="R30" s="13"/>
      <c r="S30" s="13"/>
      <c r="T30" s="13"/>
      <c r="U30" s="13"/>
      <c r="V30" s="13"/>
      <c r="W30" s="13"/>
      <c r="X30" s="13"/>
    </row>
    <row r="31" spans="1:24" ht="15.75" customHeight="1">
      <c r="A31" s="13"/>
      <c r="K31" s="13"/>
      <c r="L31" s="13"/>
      <c r="M31" s="13"/>
      <c r="N31" s="13"/>
      <c r="O31" s="13"/>
      <c r="P31" s="13"/>
      <c r="Q31" s="13"/>
      <c r="R31" s="13"/>
      <c r="S31" s="13"/>
      <c r="T31" s="13"/>
      <c r="U31" s="13"/>
      <c r="V31" s="13"/>
      <c r="W31" s="13"/>
      <c r="X31" s="13"/>
    </row>
    <row r="32" spans="1:24" ht="15.75" customHeight="1">
      <c r="A32" s="13"/>
      <c r="B32" s="13"/>
      <c r="C32" s="13"/>
      <c r="D32" s="13"/>
      <c r="E32" s="13"/>
      <c r="F32" s="13"/>
      <c r="G32" s="13"/>
      <c r="H32" s="13"/>
      <c r="I32" s="13"/>
      <c r="J32" s="13"/>
      <c r="K32" s="13"/>
      <c r="L32" s="24"/>
      <c r="M32" s="13"/>
      <c r="N32" s="13"/>
      <c r="O32" s="13"/>
      <c r="P32" s="13"/>
      <c r="Q32" s="13"/>
      <c r="R32" s="13"/>
      <c r="S32" s="13"/>
      <c r="T32" s="13"/>
      <c r="U32" s="13"/>
      <c r="V32" s="13"/>
      <c r="W32" s="13"/>
      <c r="X32" s="13"/>
    </row>
    <row r="33" spans="1:24" ht="15.75" customHeight="1">
      <c r="A33" s="13"/>
      <c r="B33" s="13"/>
      <c r="C33" s="13"/>
      <c r="D33" s="13"/>
      <c r="E33" s="13"/>
      <c r="F33" s="13"/>
      <c r="G33" s="13"/>
      <c r="H33" s="13"/>
      <c r="I33" s="13"/>
      <c r="J33" s="13"/>
      <c r="K33" s="13"/>
      <c r="L33" s="24"/>
      <c r="M33" s="13"/>
      <c r="N33" s="13"/>
      <c r="O33" s="13"/>
      <c r="P33" s="13"/>
      <c r="Q33" s="13"/>
      <c r="R33" s="13"/>
      <c r="S33" s="13"/>
      <c r="T33" s="13"/>
      <c r="U33" s="13"/>
      <c r="V33" s="13"/>
      <c r="W33" s="13"/>
      <c r="X33" s="13"/>
    </row>
    <row r="34" spans="1:24" ht="15.75" customHeight="1">
      <c r="A34" s="13"/>
      <c r="B34" t="s">
        <v>217</v>
      </c>
      <c r="C34" t="s">
        <v>244</v>
      </c>
      <c r="K34" s="13"/>
      <c r="L34" s="24"/>
      <c r="M34" s="13"/>
      <c r="N34" s="13"/>
      <c r="O34" s="13"/>
      <c r="P34" s="13"/>
      <c r="Q34" s="13"/>
      <c r="R34" s="13"/>
      <c r="S34" s="13"/>
      <c r="T34" s="13"/>
      <c r="U34" s="13"/>
      <c r="V34" s="13"/>
      <c r="W34" s="13"/>
      <c r="X34" s="13"/>
    </row>
    <row r="35" spans="1:24" ht="15.75" customHeight="1">
      <c r="A35" s="13"/>
      <c r="B35" t="s">
        <v>218</v>
      </c>
      <c r="C35" t="s">
        <v>245</v>
      </c>
      <c r="D35" t="s">
        <v>246</v>
      </c>
      <c r="E35" t="s">
        <v>247</v>
      </c>
      <c r="F35" t="s">
        <v>248</v>
      </c>
      <c r="G35" t="s">
        <v>249</v>
      </c>
      <c r="H35" t="s">
        <v>250</v>
      </c>
      <c r="I35" t="s">
        <v>251</v>
      </c>
      <c r="K35" s="34" t="s">
        <v>272</v>
      </c>
      <c r="L35" s="35" t="s">
        <v>273</v>
      </c>
      <c r="O35" s="34" t="s">
        <v>218</v>
      </c>
      <c r="P35" s="35" t="s">
        <v>245</v>
      </c>
      <c r="Q35" s="34" t="s">
        <v>246</v>
      </c>
      <c r="R35" s="35" t="s">
        <v>247</v>
      </c>
      <c r="S35" s="34" t="s">
        <v>248</v>
      </c>
      <c r="T35" s="35" t="s">
        <v>249</v>
      </c>
      <c r="U35" s="34" t="s">
        <v>250</v>
      </c>
      <c r="V35" s="35" t="s">
        <v>251</v>
      </c>
      <c r="W35" s="13"/>
      <c r="X35" s="13"/>
    </row>
    <row r="36" spans="1:24" ht="15.75" customHeight="1">
      <c r="A36" s="13"/>
      <c r="B36" t="s">
        <v>219</v>
      </c>
      <c r="C36">
        <v>79</v>
      </c>
      <c r="D36">
        <v>81</v>
      </c>
      <c r="E36">
        <v>94</v>
      </c>
      <c r="F36">
        <v>91</v>
      </c>
      <c r="G36">
        <v>81</v>
      </c>
      <c r="H36">
        <v>76</v>
      </c>
      <c r="I36">
        <v>57</v>
      </c>
      <c r="K36" s="13" t="s">
        <v>276</v>
      </c>
      <c r="L36" s="24" t="s">
        <v>274</v>
      </c>
      <c r="O36" s="28" t="s">
        <v>219</v>
      </c>
      <c r="P36" s="13" cm="1">
        <f t="array" ref="P36">_xlfn.IFS(C36&gt;=90, 1.5,C36&gt;=60, 1.2,C36&lt;60,1)</f>
        <v>1.2</v>
      </c>
      <c r="Q36" s="13" cm="1">
        <f t="array" ref="Q36">_xlfn.IFS(D36&gt;=90, 1.5,D36&gt;=60, 1.2,D36&lt;60,1)</f>
        <v>1.2</v>
      </c>
      <c r="R36" s="13" cm="1">
        <f t="array" ref="R36">_xlfn.IFS(E36&gt;=90, 1.5,E36&gt;=60, 1.2,E36&lt;60,1)</f>
        <v>1.5</v>
      </c>
      <c r="S36" s="13" cm="1">
        <f t="array" ref="S36">_xlfn.IFS(F36&gt;=90, 1.5,F36&gt;=60, 1.2,F36&lt;60,1)</f>
        <v>1.5</v>
      </c>
      <c r="T36" s="13" cm="1">
        <f t="array" ref="T36">_xlfn.IFS(G36&gt;=90, 1.5,G36&gt;=60, 1.2,G36&lt;60,1)</f>
        <v>1.2</v>
      </c>
      <c r="U36" s="13" cm="1">
        <f t="array" ref="U36">_xlfn.IFS(H36&gt;=90, 1.5,H36&gt;=60, 1.2,H36&lt;60,1)</f>
        <v>1.2</v>
      </c>
      <c r="V36" s="13" cm="1">
        <f t="array" ref="V36">_xlfn.IFS(I36&gt;=90, 1.5,I36&gt;=60, 1.2,I36&lt;60,1)</f>
        <v>1</v>
      </c>
      <c r="W36" s="13"/>
      <c r="X36" s="13"/>
    </row>
    <row r="37" spans="1:24" ht="15.75" customHeight="1">
      <c r="A37" s="13"/>
      <c r="B37" t="s">
        <v>220</v>
      </c>
      <c r="C37">
        <v>84</v>
      </c>
      <c r="D37">
        <v>76</v>
      </c>
      <c r="E37">
        <v>83</v>
      </c>
      <c r="F37">
        <v>78</v>
      </c>
      <c r="G37">
        <v>73</v>
      </c>
      <c r="H37">
        <v>75</v>
      </c>
      <c r="I37">
        <v>90</v>
      </c>
      <c r="K37" s="13" t="s">
        <v>277</v>
      </c>
      <c r="L37" s="24" t="s">
        <v>279</v>
      </c>
      <c r="O37" s="28" t="s">
        <v>220</v>
      </c>
      <c r="P37" s="13" cm="1">
        <f t="array" ref="P37">_xlfn.IFS(C37&gt;=90, 1.5,C37&gt;=60, 1.2,C37&lt;60,1)</f>
        <v>1.2</v>
      </c>
      <c r="Q37" s="13" cm="1">
        <f t="array" ref="Q37">_xlfn.IFS(D37&gt;=90, 1.5,D37&gt;=60, 1.2,D37&lt;60,1)</f>
        <v>1.2</v>
      </c>
      <c r="R37" s="13" cm="1">
        <f t="array" ref="R37">_xlfn.IFS(E37&gt;=90, 1.5,E37&gt;=60, 1.2,E37&lt;60,1)</f>
        <v>1.2</v>
      </c>
      <c r="S37" s="13" cm="1">
        <f t="array" ref="S37">_xlfn.IFS(F37&gt;=90, 1.5,F37&gt;=60, 1.2,F37&lt;60,1)</f>
        <v>1.2</v>
      </c>
      <c r="T37" s="13" cm="1">
        <f t="array" ref="T37">_xlfn.IFS(G37&gt;=90, 1.5,G37&gt;=60, 1.2,G37&lt;60,1)</f>
        <v>1.2</v>
      </c>
      <c r="U37" s="13" cm="1">
        <f t="array" ref="U37">_xlfn.IFS(H37&gt;=90, 1.5,H37&gt;=60, 1.2,H37&lt;60,1)</f>
        <v>1.2</v>
      </c>
      <c r="V37" s="13" cm="1">
        <f t="array" ref="V37">_xlfn.IFS(I37&gt;=90, 1.5,I37&gt;=60, 1.2,I37&lt;60,1)</f>
        <v>1.5</v>
      </c>
      <c r="W37" s="13"/>
      <c r="X37" s="13"/>
    </row>
    <row r="38" spans="1:24" ht="15.75" customHeight="1">
      <c r="A38" s="13"/>
      <c r="B38" t="s">
        <v>221</v>
      </c>
      <c r="C38">
        <v>79</v>
      </c>
      <c r="D38">
        <v>50</v>
      </c>
      <c r="E38">
        <v>56</v>
      </c>
      <c r="F38">
        <v>80</v>
      </c>
      <c r="G38">
        <v>60</v>
      </c>
      <c r="H38">
        <v>92</v>
      </c>
      <c r="I38">
        <v>94</v>
      </c>
      <c r="K38" s="13" t="s">
        <v>278</v>
      </c>
      <c r="L38" s="24" t="s">
        <v>275</v>
      </c>
      <c r="O38" s="28" t="s">
        <v>221</v>
      </c>
      <c r="P38" s="13" cm="1">
        <f t="array" ref="P38">_xlfn.IFS(C38&gt;=90, 1.5,C38&gt;=60, 1.2,C38&lt;60,1)</f>
        <v>1.2</v>
      </c>
      <c r="Q38" s="13" cm="1">
        <f t="array" ref="Q38">_xlfn.IFS(D38&gt;=90, 1.5,D38&gt;=60, 1.2,D38&lt;60,1)</f>
        <v>1</v>
      </c>
      <c r="R38" s="13" cm="1">
        <f t="array" ref="R38">_xlfn.IFS(E38&gt;=90, 1.5,E38&gt;=60, 1.2,E38&lt;60,1)</f>
        <v>1</v>
      </c>
      <c r="S38" s="13" cm="1">
        <f t="array" ref="S38">_xlfn.IFS(F38&gt;=90, 1.5,F38&gt;=60, 1.2,F38&lt;60,1)</f>
        <v>1.2</v>
      </c>
      <c r="T38" s="13" cm="1">
        <f t="array" ref="T38">_xlfn.IFS(G38&gt;=90, 1.5,G38&gt;=60, 1.2,G38&lt;60,1)</f>
        <v>1.2</v>
      </c>
      <c r="U38" s="13" cm="1">
        <f t="array" ref="U38">_xlfn.IFS(H38&gt;=90, 1.5,H38&gt;=60, 1.2,H38&lt;60,1)</f>
        <v>1.5</v>
      </c>
      <c r="V38" s="13" cm="1">
        <f t="array" ref="V38">_xlfn.IFS(I38&gt;=90, 1.5,I38&gt;=60, 1.2,I38&lt;60,1)</f>
        <v>1.5</v>
      </c>
      <c r="W38" s="13"/>
      <c r="X38" s="13"/>
    </row>
    <row r="39" spans="1:24" ht="15.75" customHeight="1">
      <c r="A39" s="13"/>
      <c r="B39" t="s">
        <v>222</v>
      </c>
      <c r="C39">
        <v>67</v>
      </c>
      <c r="D39">
        <v>0</v>
      </c>
      <c r="E39">
        <v>44</v>
      </c>
      <c r="F39">
        <v>56</v>
      </c>
      <c r="G39">
        <v>100</v>
      </c>
      <c r="H39">
        <v>67</v>
      </c>
      <c r="I39">
        <v>70</v>
      </c>
      <c r="K39" s="13"/>
      <c r="L39" s="24"/>
      <c r="O39" s="28" t="s">
        <v>222</v>
      </c>
      <c r="P39" s="13" cm="1">
        <f t="array" ref="P39">_xlfn.IFS(C39&gt;=90, 1.5,C39&gt;=60, 1.2,C39&lt;60,1)</f>
        <v>1.2</v>
      </c>
      <c r="Q39" s="13" cm="1">
        <f t="array" ref="Q39">_xlfn.IFS(D39&gt;=90, 1.5,D39&gt;=60, 1.2,D39&lt;60,1)</f>
        <v>1</v>
      </c>
      <c r="R39" s="13" cm="1">
        <f t="array" ref="R39">_xlfn.IFS(E39&gt;=90, 1.5,E39&gt;=60, 1.2,E39&lt;60,1)</f>
        <v>1</v>
      </c>
      <c r="S39" s="13" cm="1">
        <f t="array" ref="S39">_xlfn.IFS(F39&gt;=90, 1.5,F39&gt;=60, 1.2,F39&lt;60,1)</f>
        <v>1</v>
      </c>
      <c r="T39" s="13" cm="1">
        <f t="array" ref="T39">_xlfn.IFS(G39&gt;=90, 1.5,G39&gt;=60, 1.2,G39&lt;60,1)</f>
        <v>1.5</v>
      </c>
      <c r="U39" s="13" cm="1">
        <f t="array" ref="U39">_xlfn.IFS(H39&gt;=90, 1.5,H39&gt;=60, 1.2,H39&lt;60,1)</f>
        <v>1.2</v>
      </c>
      <c r="V39" s="13" cm="1">
        <f t="array" ref="V39">_xlfn.IFS(I39&gt;=90, 1.5,I39&gt;=60, 1.2,I39&lt;60,1)</f>
        <v>1.2</v>
      </c>
      <c r="W39" s="13"/>
      <c r="X39" s="13"/>
    </row>
    <row r="40" spans="1:24" ht="15.75" customHeight="1">
      <c r="A40" s="13"/>
      <c r="B40" t="s">
        <v>223</v>
      </c>
      <c r="C40">
        <v>45</v>
      </c>
      <c r="D40">
        <v>50</v>
      </c>
      <c r="E40">
        <v>57</v>
      </c>
      <c r="F40">
        <v>43</v>
      </c>
      <c r="G40">
        <v>50</v>
      </c>
      <c r="H40">
        <v>20</v>
      </c>
      <c r="I40">
        <v>55</v>
      </c>
      <c r="K40" s="13"/>
      <c r="L40" s="24"/>
      <c r="O40" s="28" t="s">
        <v>223</v>
      </c>
      <c r="P40" s="13" cm="1">
        <f t="array" ref="P40">_xlfn.IFS(C40&gt;=90, 1.5,C40&gt;=60, 1.2,C40&lt;60,1)</f>
        <v>1</v>
      </c>
      <c r="Q40" s="13" cm="1">
        <f t="array" ref="Q40">_xlfn.IFS(D40&gt;=90, 1.5,D40&gt;=60, 1.2,D40&lt;60,1)</f>
        <v>1</v>
      </c>
      <c r="R40" s="13" cm="1">
        <f t="array" ref="R40">_xlfn.IFS(E40&gt;=90, 1.5,E40&gt;=60, 1.2,E40&lt;60,1)</f>
        <v>1</v>
      </c>
      <c r="S40" s="13" cm="1">
        <f t="array" ref="S40">_xlfn.IFS(F40&gt;=90, 1.5,F40&gt;=60, 1.2,F40&lt;60,1)</f>
        <v>1</v>
      </c>
      <c r="T40" s="13" cm="1">
        <f t="array" ref="T40">_xlfn.IFS(G40&gt;=90, 1.5,G40&gt;=60, 1.2,G40&lt;60,1)</f>
        <v>1</v>
      </c>
      <c r="U40" s="13" cm="1">
        <f t="array" ref="U40">_xlfn.IFS(H40&gt;=90, 1.5,H40&gt;=60, 1.2,H40&lt;60,1)</f>
        <v>1</v>
      </c>
      <c r="V40" s="13" cm="1">
        <f t="array" ref="V40">_xlfn.IFS(I40&gt;=90, 1.5,I40&gt;=60, 1.2,I40&lt;60,1)</f>
        <v>1</v>
      </c>
      <c r="W40" s="13"/>
      <c r="X40" s="13"/>
    </row>
    <row r="41" spans="1:24" ht="15.75" customHeight="1">
      <c r="A41" s="13"/>
      <c r="B41" t="s">
        <v>224</v>
      </c>
      <c r="C41">
        <v>85</v>
      </c>
      <c r="D41">
        <v>50</v>
      </c>
      <c r="E41">
        <v>100</v>
      </c>
      <c r="F41">
        <v>50</v>
      </c>
      <c r="G41">
        <v>60</v>
      </c>
      <c r="H41">
        <v>83</v>
      </c>
      <c r="I41">
        <v>77</v>
      </c>
      <c r="K41" s="13"/>
      <c r="L41" s="24"/>
      <c r="O41" s="28" t="s">
        <v>224</v>
      </c>
      <c r="P41" s="13" cm="1">
        <f t="array" ref="P41">_xlfn.IFS(C41&gt;=90, 1.5,C41&gt;=60, 1.2,C41&lt;60,1)</f>
        <v>1.2</v>
      </c>
      <c r="Q41" s="13" cm="1">
        <f t="array" ref="Q41">_xlfn.IFS(D41&gt;=90, 1.5,D41&gt;=60, 1.2,D41&lt;60,1)</f>
        <v>1</v>
      </c>
      <c r="R41" s="13" cm="1">
        <f t="array" ref="R41">_xlfn.IFS(E41&gt;=90, 1.5,E41&gt;=60, 1.2,E41&lt;60,1)</f>
        <v>1.5</v>
      </c>
      <c r="S41" s="13" cm="1">
        <f t="array" ref="S41">_xlfn.IFS(F41&gt;=90, 1.5,F41&gt;=60, 1.2,F41&lt;60,1)</f>
        <v>1</v>
      </c>
      <c r="T41" s="13" cm="1">
        <f t="array" ref="T41">_xlfn.IFS(G41&gt;=90, 1.5,G41&gt;=60, 1.2,G41&lt;60,1)</f>
        <v>1.2</v>
      </c>
      <c r="U41" s="13" cm="1">
        <f t="array" ref="U41">_xlfn.IFS(H41&gt;=90, 1.5,H41&gt;=60, 1.2,H41&lt;60,1)</f>
        <v>1.2</v>
      </c>
      <c r="V41" s="13" cm="1">
        <f t="array" ref="V41">_xlfn.IFS(I41&gt;=90, 1.5,I41&gt;=60, 1.2,I41&lt;60,1)</f>
        <v>1.2</v>
      </c>
      <c r="W41" s="13"/>
      <c r="X41" s="13"/>
    </row>
    <row r="42" spans="1:24" ht="15.75" customHeight="1">
      <c r="A42" s="13"/>
      <c r="B42" t="s">
        <v>225</v>
      </c>
      <c r="C42">
        <v>80</v>
      </c>
      <c r="D42">
        <v>36</v>
      </c>
      <c r="E42">
        <v>73</v>
      </c>
      <c r="F42">
        <v>18</v>
      </c>
      <c r="G42">
        <v>57</v>
      </c>
      <c r="H42">
        <v>60</v>
      </c>
      <c r="I42">
        <v>83</v>
      </c>
      <c r="K42" s="13"/>
      <c r="L42" s="24"/>
      <c r="O42" s="28" t="s">
        <v>225</v>
      </c>
      <c r="P42" s="13" cm="1">
        <f t="array" ref="P42">_xlfn.IFS(C42&gt;=90, 1.5,C42&gt;=60, 1.2,C42&lt;60,1)</f>
        <v>1.2</v>
      </c>
      <c r="Q42" s="13" cm="1">
        <f t="array" ref="Q42">_xlfn.IFS(D42&gt;=90, 1.5,D42&gt;=60, 1.2,D42&lt;60,1)</f>
        <v>1</v>
      </c>
      <c r="R42" s="13" cm="1">
        <f t="array" ref="R42">_xlfn.IFS(E42&gt;=90, 1.5,E42&gt;=60, 1.2,E42&lt;60,1)</f>
        <v>1.2</v>
      </c>
      <c r="S42" s="13" cm="1">
        <f t="array" ref="S42">_xlfn.IFS(F42&gt;=90, 1.5,F42&gt;=60, 1.2,F42&lt;60,1)</f>
        <v>1</v>
      </c>
      <c r="T42" s="13" cm="1">
        <f t="array" ref="T42">_xlfn.IFS(G42&gt;=90, 1.5,G42&gt;=60, 1.2,G42&lt;60,1)</f>
        <v>1</v>
      </c>
      <c r="U42" s="13" cm="1">
        <f t="array" ref="U42">_xlfn.IFS(H42&gt;=90, 1.5,H42&gt;=60, 1.2,H42&lt;60,1)</f>
        <v>1.2</v>
      </c>
      <c r="V42" s="13" cm="1">
        <f t="array" ref="V42">_xlfn.IFS(I42&gt;=90, 1.5,I42&gt;=60, 1.2,I42&lt;60,1)</f>
        <v>1.2</v>
      </c>
      <c r="W42" s="13"/>
      <c r="X42" s="13"/>
    </row>
    <row r="43" spans="1:24" ht="15.75" customHeight="1">
      <c r="A43" s="13"/>
      <c r="B43" t="s">
        <v>226</v>
      </c>
      <c r="C43">
        <v>71</v>
      </c>
      <c r="D43">
        <v>56</v>
      </c>
      <c r="E43">
        <v>69</v>
      </c>
      <c r="F43">
        <v>53</v>
      </c>
      <c r="G43">
        <v>52</v>
      </c>
      <c r="H43">
        <v>55</v>
      </c>
      <c r="I43">
        <v>78</v>
      </c>
      <c r="K43" s="13"/>
      <c r="L43" s="13"/>
      <c r="O43" s="28" t="s">
        <v>226</v>
      </c>
      <c r="P43" s="13" cm="1">
        <f t="array" ref="P43">_xlfn.IFS(C43&gt;=90, 1.5,C43&gt;=60, 1.2,C43&lt;60,1)</f>
        <v>1.2</v>
      </c>
      <c r="Q43" s="13" cm="1">
        <f t="array" ref="Q43">_xlfn.IFS(D43&gt;=90, 1.5,D43&gt;=60, 1.2,D43&lt;60,1)</f>
        <v>1</v>
      </c>
      <c r="R43" s="13" cm="1">
        <f t="array" ref="R43">_xlfn.IFS(E43&gt;=90, 1.5,E43&gt;=60, 1.2,E43&lt;60,1)</f>
        <v>1.2</v>
      </c>
      <c r="S43" s="13" cm="1">
        <f t="array" ref="S43">_xlfn.IFS(F43&gt;=90, 1.5,F43&gt;=60, 1.2,F43&lt;60,1)</f>
        <v>1</v>
      </c>
      <c r="T43" s="13" cm="1">
        <f t="array" ref="T43">_xlfn.IFS(G43&gt;=90, 1.5,G43&gt;=60, 1.2,G43&lt;60,1)</f>
        <v>1</v>
      </c>
      <c r="U43" s="13" cm="1">
        <f t="array" ref="U43">_xlfn.IFS(H43&gt;=90, 1.5,H43&gt;=60, 1.2,H43&lt;60,1)</f>
        <v>1</v>
      </c>
      <c r="V43" s="13" cm="1">
        <f t="array" ref="V43">_xlfn.IFS(I43&gt;=90, 1.5,I43&gt;=60, 1.2,I43&lt;60,1)</f>
        <v>1.2</v>
      </c>
      <c r="W43" s="13"/>
      <c r="X43" s="13"/>
    </row>
    <row r="44" spans="1:24" ht="15.75" customHeight="1">
      <c r="A44" s="13"/>
      <c r="B44" t="s">
        <v>227</v>
      </c>
      <c r="C44">
        <v>79</v>
      </c>
      <c r="D44">
        <v>53</v>
      </c>
      <c r="E44">
        <v>68</v>
      </c>
      <c r="F44">
        <v>39</v>
      </c>
      <c r="G44">
        <v>56</v>
      </c>
      <c r="H44">
        <v>65</v>
      </c>
      <c r="I44">
        <v>59</v>
      </c>
      <c r="K44" s="13"/>
      <c r="L44" s="13"/>
      <c r="O44" s="28" t="s">
        <v>227</v>
      </c>
      <c r="P44" s="13" cm="1">
        <f t="array" ref="P44">_xlfn.IFS(C44&gt;=90, 1.5,C44&gt;=60, 1.2,C44&lt;60,1)</f>
        <v>1.2</v>
      </c>
      <c r="Q44" s="13" cm="1">
        <f t="array" ref="Q44">_xlfn.IFS(D44&gt;=90, 1.5,D44&gt;=60, 1.2,D44&lt;60,1)</f>
        <v>1</v>
      </c>
      <c r="R44" s="13" cm="1">
        <f t="array" ref="R44">_xlfn.IFS(E44&gt;=90, 1.5,E44&gt;=60, 1.2,E44&lt;60,1)</f>
        <v>1.2</v>
      </c>
      <c r="S44" s="13" cm="1">
        <f t="array" ref="S44">_xlfn.IFS(F44&gt;=90, 1.5,F44&gt;=60, 1.2,F44&lt;60,1)</f>
        <v>1</v>
      </c>
      <c r="T44" s="13" cm="1">
        <f t="array" ref="T44">_xlfn.IFS(G44&gt;=90, 1.5,G44&gt;=60, 1.2,G44&lt;60,1)</f>
        <v>1</v>
      </c>
      <c r="U44" s="13" cm="1">
        <f t="array" ref="U44">_xlfn.IFS(H44&gt;=90, 1.5,H44&gt;=60, 1.2,H44&lt;60,1)</f>
        <v>1.2</v>
      </c>
      <c r="V44" s="13" cm="1">
        <f t="array" ref="V44">_xlfn.IFS(I44&gt;=90, 1.5,I44&gt;=60, 1.2,I44&lt;60,1)</f>
        <v>1</v>
      </c>
      <c r="W44" s="13"/>
      <c r="X44" s="13"/>
    </row>
    <row r="45" spans="1:24" ht="15.75" customHeight="1">
      <c r="A45" s="13"/>
      <c r="B45" t="s">
        <v>228</v>
      </c>
      <c r="C45">
        <v>59</v>
      </c>
      <c r="D45">
        <v>58</v>
      </c>
      <c r="E45">
        <v>76</v>
      </c>
      <c r="F45">
        <v>51</v>
      </c>
      <c r="G45">
        <v>57</v>
      </c>
      <c r="H45">
        <v>67</v>
      </c>
      <c r="I45">
        <v>79</v>
      </c>
      <c r="K45" s="13"/>
      <c r="L45" s="13"/>
      <c r="O45" s="28" t="s">
        <v>228</v>
      </c>
      <c r="P45" s="13" cm="1">
        <f t="array" ref="P45">_xlfn.IFS(C45&gt;=90, 1.5,C45&gt;=60, 1.2,C45&lt;60,1)</f>
        <v>1</v>
      </c>
      <c r="Q45" s="13" cm="1">
        <f t="array" ref="Q45">_xlfn.IFS(D45&gt;=90, 1.5,D45&gt;=60, 1.2,D45&lt;60,1)</f>
        <v>1</v>
      </c>
      <c r="R45" s="13" cm="1">
        <f t="array" ref="R45">_xlfn.IFS(E45&gt;=90, 1.5,E45&gt;=60, 1.2,E45&lt;60,1)</f>
        <v>1.2</v>
      </c>
      <c r="S45" s="13" cm="1">
        <f t="array" ref="S45">_xlfn.IFS(F45&gt;=90, 1.5,F45&gt;=60, 1.2,F45&lt;60,1)</f>
        <v>1</v>
      </c>
      <c r="T45" s="13" cm="1">
        <f t="array" ref="T45">_xlfn.IFS(G45&gt;=90, 1.5,G45&gt;=60, 1.2,G45&lt;60,1)</f>
        <v>1</v>
      </c>
      <c r="U45" s="13" cm="1">
        <f t="array" ref="U45">_xlfn.IFS(H45&gt;=90, 1.5,H45&gt;=60, 1.2,H45&lt;60,1)</f>
        <v>1.2</v>
      </c>
      <c r="V45" s="13" cm="1">
        <f t="array" ref="V45">_xlfn.IFS(I45&gt;=90, 1.5,I45&gt;=60, 1.2,I45&lt;60,1)</f>
        <v>1.2</v>
      </c>
      <c r="W45" s="13"/>
      <c r="X45" s="13"/>
    </row>
    <row r="46" spans="1:24" ht="15.75" customHeight="1">
      <c r="A46" s="13"/>
      <c r="B46" t="s">
        <v>229</v>
      </c>
      <c r="C46">
        <v>54</v>
      </c>
      <c r="D46">
        <v>56</v>
      </c>
      <c r="E46">
        <v>76</v>
      </c>
      <c r="F46">
        <v>67</v>
      </c>
      <c r="G46">
        <v>79</v>
      </c>
      <c r="H46">
        <v>67</v>
      </c>
      <c r="I46">
        <v>66</v>
      </c>
      <c r="K46" s="13"/>
      <c r="L46" s="13"/>
      <c r="O46" s="28" t="s">
        <v>229</v>
      </c>
      <c r="P46" s="13" cm="1">
        <f t="array" ref="P46">_xlfn.IFS(C46&gt;=90, 1.5,C46&gt;=60, 1.2,C46&lt;60,1)</f>
        <v>1</v>
      </c>
      <c r="Q46" s="13" cm="1">
        <f t="array" ref="Q46">_xlfn.IFS(D46&gt;=90, 1.5,D46&gt;=60, 1.2,D46&lt;60,1)</f>
        <v>1</v>
      </c>
      <c r="R46" s="13" cm="1">
        <f t="array" ref="R46">_xlfn.IFS(E46&gt;=90, 1.5,E46&gt;=60, 1.2,E46&lt;60,1)</f>
        <v>1.2</v>
      </c>
      <c r="S46" s="13" cm="1">
        <f t="array" ref="S46">_xlfn.IFS(F46&gt;=90, 1.5,F46&gt;=60, 1.2,F46&lt;60,1)</f>
        <v>1.2</v>
      </c>
      <c r="T46" s="13" cm="1">
        <f t="array" ref="T46">_xlfn.IFS(G46&gt;=90, 1.5,G46&gt;=60, 1.2,G46&lt;60,1)</f>
        <v>1.2</v>
      </c>
      <c r="U46" s="13" cm="1">
        <f t="array" ref="U46">_xlfn.IFS(H46&gt;=90, 1.5,H46&gt;=60, 1.2,H46&lt;60,1)</f>
        <v>1.2</v>
      </c>
      <c r="V46" s="13" cm="1">
        <f t="array" ref="V46">_xlfn.IFS(I46&gt;=90, 1.5,I46&gt;=60, 1.2,I46&lt;60,1)</f>
        <v>1.2</v>
      </c>
      <c r="W46" s="13"/>
      <c r="X46" s="13"/>
    </row>
    <row r="47" spans="1:24" ht="15.75" customHeight="1">
      <c r="A47" s="13"/>
      <c r="B47" t="s">
        <v>230</v>
      </c>
      <c r="C47">
        <v>85</v>
      </c>
      <c r="D47">
        <v>77</v>
      </c>
      <c r="E47">
        <v>86</v>
      </c>
      <c r="F47">
        <v>80</v>
      </c>
      <c r="G47">
        <v>89</v>
      </c>
      <c r="H47">
        <v>79</v>
      </c>
      <c r="I47">
        <v>51</v>
      </c>
      <c r="K47" s="13"/>
      <c r="L47" s="13"/>
      <c r="O47" s="28" t="s">
        <v>230</v>
      </c>
      <c r="P47" s="13" cm="1">
        <f t="array" ref="P47">_xlfn.IFS(C47&gt;=90, 1.5,C47&gt;=60, 1.2,C47&lt;60,1)</f>
        <v>1.2</v>
      </c>
      <c r="Q47" s="13" cm="1">
        <f t="array" ref="Q47">_xlfn.IFS(D47&gt;=90, 1.5,D47&gt;=60, 1.2,D47&lt;60,1)</f>
        <v>1.2</v>
      </c>
      <c r="R47" s="13" cm="1">
        <f t="array" ref="R47">_xlfn.IFS(E47&gt;=90, 1.5,E47&gt;=60, 1.2,E47&lt;60,1)</f>
        <v>1.2</v>
      </c>
      <c r="S47" s="13" cm="1">
        <f t="array" ref="S47">_xlfn.IFS(F47&gt;=90, 1.5,F47&gt;=60, 1.2,F47&lt;60,1)</f>
        <v>1.2</v>
      </c>
      <c r="T47" s="13" cm="1">
        <f t="array" ref="T47">_xlfn.IFS(G47&gt;=90, 1.5,G47&gt;=60, 1.2,G47&lt;60,1)</f>
        <v>1.2</v>
      </c>
      <c r="U47" s="13" cm="1">
        <f t="array" ref="U47">_xlfn.IFS(H47&gt;=90, 1.5,H47&gt;=60, 1.2,H47&lt;60,1)</f>
        <v>1.2</v>
      </c>
      <c r="V47" s="13" cm="1">
        <f t="array" ref="V47">_xlfn.IFS(I47&gt;=90, 1.5,I47&gt;=60, 1.2,I47&lt;60,1)</f>
        <v>1</v>
      </c>
      <c r="W47" s="13"/>
      <c r="X47" s="13"/>
    </row>
    <row r="48" spans="1:24" ht="15.75" customHeight="1">
      <c r="A48" s="13"/>
      <c r="B48" t="s">
        <v>231</v>
      </c>
      <c r="C48">
        <v>71</v>
      </c>
      <c r="D48">
        <v>82</v>
      </c>
      <c r="E48">
        <v>88</v>
      </c>
      <c r="F48">
        <v>71</v>
      </c>
      <c r="G48">
        <v>85</v>
      </c>
      <c r="H48">
        <v>73</v>
      </c>
      <c r="I48">
        <v>52</v>
      </c>
      <c r="K48" s="13"/>
      <c r="L48" s="13"/>
      <c r="O48" s="28" t="s">
        <v>231</v>
      </c>
      <c r="P48" s="13" cm="1">
        <f t="array" ref="P48">_xlfn.IFS(C48&gt;=90, 1.5,C48&gt;=60, 1.2,C48&lt;60,1)</f>
        <v>1.2</v>
      </c>
      <c r="Q48" s="13" cm="1">
        <f t="array" ref="Q48">_xlfn.IFS(D48&gt;=90, 1.5,D48&gt;=60, 1.2,D48&lt;60,1)</f>
        <v>1.2</v>
      </c>
      <c r="R48" s="13" cm="1">
        <f t="array" ref="R48">_xlfn.IFS(E48&gt;=90, 1.5,E48&gt;=60, 1.2,E48&lt;60,1)</f>
        <v>1.2</v>
      </c>
      <c r="S48" s="13" cm="1">
        <f t="array" ref="S48">_xlfn.IFS(F48&gt;=90, 1.5,F48&gt;=60, 1.2,F48&lt;60,1)</f>
        <v>1.2</v>
      </c>
      <c r="T48" s="13" cm="1">
        <f t="array" ref="T48">_xlfn.IFS(G48&gt;=90, 1.5,G48&gt;=60, 1.2,G48&lt;60,1)</f>
        <v>1.2</v>
      </c>
      <c r="U48" s="13" cm="1">
        <f t="array" ref="U48">_xlfn.IFS(H48&gt;=90, 1.5,H48&gt;=60, 1.2,H48&lt;60,1)</f>
        <v>1.2</v>
      </c>
      <c r="V48" s="13" cm="1">
        <f t="array" ref="V48">_xlfn.IFS(I48&gt;=90, 1.5,I48&gt;=60, 1.2,I48&lt;60,1)</f>
        <v>1</v>
      </c>
      <c r="W48" s="13"/>
      <c r="X48" s="13"/>
    </row>
    <row r="49" spans="1:24" ht="15.75" customHeight="1">
      <c r="A49" s="13"/>
      <c r="B49" t="s">
        <v>232</v>
      </c>
      <c r="C49">
        <v>70</v>
      </c>
      <c r="D49">
        <v>82</v>
      </c>
      <c r="E49">
        <v>91</v>
      </c>
      <c r="F49">
        <v>87</v>
      </c>
      <c r="G49">
        <v>89</v>
      </c>
      <c r="H49">
        <v>79</v>
      </c>
      <c r="I49">
        <v>66</v>
      </c>
      <c r="K49" s="13"/>
      <c r="L49" s="13"/>
      <c r="O49" s="28" t="s">
        <v>232</v>
      </c>
      <c r="P49" s="13" cm="1">
        <f t="array" ref="P49">_xlfn.IFS(C49&gt;=90, 1.5,C49&gt;=60, 1.2,C49&lt;60,1)</f>
        <v>1.2</v>
      </c>
      <c r="Q49" s="13" cm="1">
        <f t="array" ref="Q49">_xlfn.IFS(D49&gt;=90, 1.5,D49&gt;=60, 1.2,D49&lt;60,1)</f>
        <v>1.2</v>
      </c>
      <c r="R49" s="13" cm="1">
        <f t="array" ref="R49">_xlfn.IFS(E49&gt;=90, 1.5,E49&gt;=60, 1.2,E49&lt;60,1)</f>
        <v>1.5</v>
      </c>
      <c r="S49" s="13" cm="1">
        <f t="array" ref="S49">_xlfn.IFS(F49&gt;=90, 1.5,F49&gt;=60, 1.2,F49&lt;60,1)</f>
        <v>1.2</v>
      </c>
      <c r="T49" s="13" cm="1">
        <f t="array" ref="T49">_xlfn.IFS(G49&gt;=90, 1.5,G49&gt;=60, 1.2,G49&lt;60,1)</f>
        <v>1.2</v>
      </c>
      <c r="U49" s="13" cm="1">
        <f t="array" ref="U49">_xlfn.IFS(H49&gt;=90, 1.5,H49&gt;=60, 1.2,H49&lt;60,1)</f>
        <v>1.2</v>
      </c>
      <c r="V49" s="13" cm="1">
        <f t="array" ref="V49">_xlfn.IFS(I49&gt;=90, 1.5,I49&gt;=60, 1.2,I49&lt;60,1)</f>
        <v>1.2</v>
      </c>
      <c r="W49" s="13"/>
      <c r="X49" s="13"/>
    </row>
    <row r="50" spans="1:24" ht="15.75" customHeight="1">
      <c r="A50" s="13"/>
      <c r="B50" t="s">
        <v>233</v>
      </c>
      <c r="C50">
        <v>69</v>
      </c>
      <c r="D50">
        <v>88</v>
      </c>
      <c r="E50">
        <v>84</v>
      </c>
      <c r="F50">
        <v>92</v>
      </c>
      <c r="G50">
        <v>88</v>
      </c>
      <c r="H50">
        <v>78</v>
      </c>
      <c r="I50">
        <v>82</v>
      </c>
      <c r="K50" s="13"/>
      <c r="L50" s="13"/>
      <c r="O50" s="28" t="s">
        <v>233</v>
      </c>
      <c r="P50" s="13" cm="1">
        <f t="array" ref="P50">_xlfn.IFS(C50&gt;=90, 1.5,C50&gt;=60, 1.2,C50&lt;60,1)</f>
        <v>1.2</v>
      </c>
      <c r="Q50" s="13" cm="1">
        <f t="array" ref="Q50">_xlfn.IFS(D50&gt;=90, 1.5,D50&gt;=60, 1.2,D50&lt;60,1)</f>
        <v>1.2</v>
      </c>
      <c r="R50" s="13" cm="1">
        <f t="array" ref="R50">_xlfn.IFS(E50&gt;=90, 1.5,E50&gt;=60, 1.2,E50&lt;60,1)</f>
        <v>1.2</v>
      </c>
      <c r="S50" s="13" cm="1">
        <f t="array" ref="S50">_xlfn.IFS(F50&gt;=90, 1.5,F50&gt;=60, 1.2,F50&lt;60,1)</f>
        <v>1.5</v>
      </c>
      <c r="T50" s="13" cm="1">
        <f t="array" ref="T50">_xlfn.IFS(G50&gt;=90, 1.5,G50&gt;=60, 1.2,G50&lt;60,1)</f>
        <v>1.2</v>
      </c>
      <c r="U50" s="13" cm="1">
        <f t="array" ref="U50">_xlfn.IFS(H50&gt;=90, 1.5,H50&gt;=60, 1.2,H50&lt;60,1)</f>
        <v>1.2</v>
      </c>
      <c r="V50" s="13" cm="1">
        <f t="array" ref="V50">_xlfn.IFS(I50&gt;=90, 1.5,I50&gt;=60, 1.2,I50&lt;60,1)</f>
        <v>1.2</v>
      </c>
      <c r="W50" s="13"/>
      <c r="X50" s="13"/>
    </row>
    <row r="51" spans="1:24" ht="15.75" customHeight="1">
      <c r="A51" s="13"/>
      <c r="B51" t="s">
        <v>234</v>
      </c>
      <c r="C51">
        <v>82</v>
      </c>
      <c r="D51">
        <v>91</v>
      </c>
      <c r="E51">
        <v>95</v>
      </c>
      <c r="F51">
        <v>84</v>
      </c>
      <c r="G51">
        <v>77</v>
      </c>
      <c r="H51">
        <v>82</v>
      </c>
      <c r="I51">
        <v>94</v>
      </c>
      <c r="K51" s="13"/>
      <c r="L51" s="13"/>
      <c r="O51" s="28" t="s">
        <v>234</v>
      </c>
      <c r="P51" s="13" cm="1">
        <f t="array" ref="P51">_xlfn.IFS(C51&gt;=90, 1.5,C51&gt;=60, 1.2,C51&lt;60,1)</f>
        <v>1.2</v>
      </c>
      <c r="Q51" s="13" cm="1">
        <f t="array" ref="Q51">_xlfn.IFS(D51&gt;=90, 1.5,D51&gt;=60, 1.2,D51&lt;60,1)</f>
        <v>1.5</v>
      </c>
      <c r="R51" s="13" cm="1">
        <f t="array" ref="R51">_xlfn.IFS(E51&gt;=90, 1.5,E51&gt;=60, 1.2,E51&lt;60,1)</f>
        <v>1.5</v>
      </c>
      <c r="S51" s="13" cm="1">
        <f t="array" ref="S51">_xlfn.IFS(F51&gt;=90, 1.5,F51&gt;=60, 1.2,F51&lt;60,1)</f>
        <v>1.2</v>
      </c>
      <c r="T51" s="13" cm="1">
        <f t="array" ref="T51">_xlfn.IFS(G51&gt;=90, 1.5,G51&gt;=60, 1.2,G51&lt;60,1)</f>
        <v>1.2</v>
      </c>
      <c r="U51" s="13" cm="1">
        <f t="array" ref="U51">_xlfn.IFS(H51&gt;=90, 1.5,H51&gt;=60, 1.2,H51&lt;60,1)</f>
        <v>1.2</v>
      </c>
      <c r="V51" s="13" cm="1">
        <f t="array" ref="V51">_xlfn.IFS(I51&gt;=90, 1.5,I51&gt;=60, 1.2,I51&lt;60,1)</f>
        <v>1.5</v>
      </c>
      <c r="W51" s="13"/>
      <c r="X51" s="13"/>
    </row>
    <row r="52" spans="1:24" ht="15.75" customHeight="1">
      <c r="A52" s="13"/>
      <c r="B52" t="s">
        <v>235</v>
      </c>
      <c r="C52">
        <v>81</v>
      </c>
      <c r="D52">
        <v>100</v>
      </c>
      <c r="E52">
        <v>92</v>
      </c>
      <c r="F52">
        <v>83</v>
      </c>
      <c r="G52">
        <v>84</v>
      </c>
      <c r="H52">
        <v>63</v>
      </c>
      <c r="I52">
        <v>76</v>
      </c>
      <c r="K52" s="13"/>
      <c r="L52" s="13"/>
      <c r="O52" s="28" t="s">
        <v>235</v>
      </c>
      <c r="P52" s="13" cm="1">
        <f t="array" ref="P52">_xlfn.IFS(C52&gt;=90, 1.5,C52&gt;=60, 1.2,C52&lt;60,1)</f>
        <v>1.2</v>
      </c>
      <c r="Q52" s="13" cm="1">
        <f t="array" ref="Q52">_xlfn.IFS(D52&gt;=90, 1.5,D52&gt;=60, 1.2,D52&lt;60,1)</f>
        <v>1.5</v>
      </c>
      <c r="R52" s="13" cm="1">
        <f t="array" ref="R52">_xlfn.IFS(E52&gt;=90, 1.5,E52&gt;=60, 1.2,E52&lt;60,1)</f>
        <v>1.5</v>
      </c>
      <c r="S52" s="13" cm="1">
        <f t="array" ref="S52">_xlfn.IFS(F52&gt;=90, 1.5,F52&gt;=60, 1.2,F52&lt;60,1)</f>
        <v>1.2</v>
      </c>
      <c r="T52" s="13" cm="1">
        <f t="array" ref="T52">_xlfn.IFS(G52&gt;=90, 1.5,G52&gt;=60, 1.2,G52&lt;60,1)</f>
        <v>1.2</v>
      </c>
      <c r="U52" s="13" cm="1">
        <f t="array" ref="U52">_xlfn.IFS(H52&gt;=90, 1.5,H52&gt;=60, 1.2,H52&lt;60,1)</f>
        <v>1.2</v>
      </c>
      <c r="V52" s="13" cm="1">
        <f t="array" ref="V52">_xlfn.IFS(I52&gt;=90, 1.5,I52&gt;=60, 1.2,I52&lt;60,1)</f>
        <v>1.2</v>
      </c>
      <c r="W52" s="13"/>
      <c r="X52" s="13"/>
    </row>
    <row r="53" spans="1:24" ht="15.75" customHeight="1">
      <c r="A53" s="13"/>
      <c r="B53" t="s">
        <v>236</v>
      </c>
      <c r="C53">
        <v>68</v>
      </c>
      <c r="D53">
        <v>97</v>
      </c>
      <c r="E53">
        <v>80</v>
      </c>
      <c r="F53">
        <v>92</v>
      </c>
      <c r="G53">
        <v>84</v>
      </c>
      <c r="H53">
        <v>62</v>
      </c>
      <c r="I53">
        <v>82</v>
      </c>
      <c r="K53" s="13"/>
      <c r="L53" s="13"/>
      <c r="O53" s="28" t="s">
        <v>236</v>
      </c>
      <c r="P53" s="13" cm="1">
        <f t="array" ref="P53">_xlfn.IFS(C53&gt;=90, 1.5,C53&gt;=60, 1.2,C53&lt;60,1)</f>
        <v>1.2</v>
      </c>
      <c r="Q53" s="13" cm="1">
        <f t="array" ref="Q53">_xlfn.IFS(D53&gt;=90, 1.5,D53&gt;=60, 1.2,D53&lt;60,1)</f>
        <v>1.5</v>
      </c>
      <c r="R53" s="13" cm="1">
        <f t="array" ref="R53">_xlfn.IFS(E53&gt;=90, 1.5,E53&gt;=60, 1.2,E53&lt;60,1)</f>
        <v>1.2</v>
      </c>
      <c r="S53" s="13" cm="1">
        <f t="array" ref="S53">_xlfn.IFS(F53&gt;=90, 1.5,F53&gt;=60, 1.2,F53&lt;60,1)</f>
        <v>1.5</v>
      </c>
      <c r="T53" s="13" cm="1">
        <f t="array" ref="T53">_xlfn.IFS(G53&gt;=90, 1.5,G53&gt;=60, 1.2,G53&lt;60,1)</f>
        <v>1.2</v>
      </c>
      <c r="U53" s="13" cm="1">
        <f t="array" ref="U53">_xlfn.IFS(H53&gt;=90, 1.5,H53&gt;=60, 1.2,H53&lt;60,1)</f>
        <v>1.2</v>
      </c>
      <c r="V53" s="13" cm="1">
        <f t="array" ref="V53">_xlfn.IFS(I53&gt;=90, 1.5,I53&gt;=60, 1.2,I53&lt;60,1)</f>
        <v>1.2</v>
      </c>
      <c r="W53" s="13"/>
      <c r="X53" s="13"/>
    </row>
    <row r="54" spans="1:24" ht="15.75" customHeight="1">
      <c r="A54" s="13"/>
      <c r="B54" t="s">
        <v>237</v>
      </c>
      <c r="C54">
        <v>85</v>
      </c>
      <c r="D54">
        <v>96</v>
      </c>
      <c r="E54">
        <v>55</v>
      </c>
      <c r="F54">
        <v>81</v>
      </c>
      <c r="G54">
        <v>91</v>
      </c>
      <c r="H54">
        <v>45</v>
      </c>
      <c r="I54">
        <v>80</v>
      </c>
      <c r="K54" s="13"/>
      <c r="L54" s="13"/>
      <c r="O54" s="28" t="s">
        <v>237</v>
      </c>
      <c r="P54" s="13" cm="1">
        <f t="array" ref="P54">_xlfn.IFS(C54&gt;=90, 1.5,C54&gt;=60, 1.2,C54&lt;60,1)</f>
        <v>1.2</v>
      </c>
      <c r="Q54" s="13" cm="1">
        <f t="array" ref="Q54">_xlfn.IFS(D54&gt;=90, 1.5,D54&gt;=60, 1.2,D54&lt;60,1)</f>
        <v>1.5</v>
      </c>
      <c r="R54" s="13" cm="1">
        <f t="array" ref="R54">_xlfn.IFS(E54&gt;=90, 1.5,E54&gt;=60, 1.2,E54&lt;60,1)</f>
        <v>1</v>
      </c>
      <c r="S54" s="13" cm="1">
        <f t="array" ref="S54">_xlfn.IFS(F54&gt;=90, 1.5,F54&gt;=60, 1.2,F54&lt;60,1)</f>
        <v>1.2</v>
      </c>
      <c r="T54" s="13" cm="1">
        <f t="array" ref="T54">_xlfn.IFS(G54&gt;=90, 1.5,G54&gt;=60, 1.2,G54&lt;60,1)</f>
        <v>1.5</v>
      </c>
      <c r="U54" s="13" cm="1">
        <f t="array" ref="U54">_xlfn.IFS(H54&gt;=90, 1.5,H54&gt;=60, 1.2,H54&lt;60,1)</f>
        <v>1</v>
      </c>
      <c r="V54" s="13" cm="1">
        <f t="array" ref="V54">_xlfn.IFS(I54&gt;=90, 1.5,I54&gt;=60, 1.2,I54&lt;60,1)</f>
        <v>1.2</v>
      </c>
      <c r="W54" s="13"/>
      <c r="X54" s="13"/>
    </row>
    <row r="55" spans="1:24" ht="15.75" customHeight="1">
      <c r="A55" s="13"/>
      <c r="B55" t="s">
        <v>238</v>
      </c>
      <c r="C55">
        <v>84</v>
      </c>
      <c r="D55">
        <v>84</v>
      </c>
      <c r="E55">
        <v>85</v>
      </c>
      <c r="F55">
        <v>84</v>
      </c>
      <c r="G55">
        <v>84</v>
      </c>
      <c r="H55">
        <v>64</v>
      </c>
      <c r="I55">
        <v>77</v>
      </c>
      <c r="K55" s="13"/>
      <c r="L55" s="13"/>
      <c r="O55" s="28" t="s">
        <v>238</v>
      </c>
      <c r="P55" s="13" cm="1">
        <f t="array" ref="P55">_xlfn.IFS(C55&gt;=90, 1.5,C55&gt;=60, 1.2,C55&lt;60,1)</f>
        <v>1.2</v>
      </c>
      <c r="Q55" s="13" cm="1">
        <f t="array" ref="Q55">_xlfn.IFS(D55&gt;=90, 1.5,D55&gt;=60, 1.2,D55&lt;60,1)</f>
        <v>1.2</v>
      </c>
      <c r="R55" s="13" cm="1">
        <f t="array" ref="R55">_xlfn.IFS(E55&gt;=90, 1.5,E55&gt;=60, 1.2,E55&lt;60,1)</f>
        <v>1.2</v>
      </c>
      <c r="S55" s="13" cm="1">
        <f t="array" ref="S55">_xlfn.IFS(F55&gt;=90, 1.5,F55&gt;=60, 1.2,F55&lt;60,1)</f>
        <v>1.2</v>
      </c>
      <c r="T55" s="13" cm="1">
        <f t="array" ref="T55">_xlfn.IFS(G55&gt;=90, 1.5,G55&gt;=60, 1.2,G55&lt;60,1)</f>
        <v>1.2</v>
      </c>
      <c r="U55" s="13" cm="1">
        <f t="array" ref="U55">_xlfn.IFS(H55&gt;=90, 1.5,H55&gt;=60, 1.2,H55&lt;60,1)</f>
        <v>1.2</v>
      </c>
      <c r="V55" s="13" cm="1">
        <f t="array" ref="V55">_xlfn.IFS(I55&gt;=90, 1.5,I55&gt;=60, 1.2,I55&lt;60,1)</f>
        <v>1.2</v>
      </c>
      <c r="W55" s="13"/>
      <c r="X55" s="13"/>
    </row>
    <row r="56" spans="1:24" ht="15.75" customHeight="1">
      <c r="A56" s="13"/>
      <c r="B56" t="s">
        <v>239</v>
      </c>
      <c r="C56">
        <v>89</v>
      </c>
      <c r="D56">
        <v>87</v>
      </c>
      <c r="E56">
        <v>79</v>
      </c>
      <c r="F56">
        <v>94</v>
      </c>
      <c r="G56">
        <v>89</v>
      </c>
      <c r="H56">
        <v>58</v>
      </c>
      <c r="I56">
        <v>79</v>
      </c>
      <c r="K56" s="13"/>
      <c r="L56" s="13"/>
      <c r="O56" s="28" t="s">
        <v>239</v>
      </c>
      <c r="P56" s="13" cm="1">
        <f t="array" ref="P56">_xlfn.IFS(C56&gt;=90, 1.5,C56&gt;=60, 1.2,C56&lt;60,1)</f>
        <v>1.2</v>
      </c>
      <c r="Q56" s="13" cm="1">
        <f t="array" ref="Q56">_xlfn.IFS(D56&gt;=90, 1.5,D56&gt;=60, 1.2,D56&lt;60,1)</f>
        <v>1.2</v>
      </c>
      <c r="R56" s="13" cm="1">
        <f t="array" ref="R56">_xlfn.IFS(E56&gt;=90, 1.5,E56&gt;=60, 1.2,E56&lt;60,1)</f>
        <v>1.2</v>
      </c>
      <c r="S56" s="13" cm="1">
        <f t="array" ref="S56">_xlfn.IFS(F56&gt;=90, 1.5,F56&gt;=60, 1.2,F56&lt;60,1)</f>
        <v>1.5</v>
      </c>
      <c r="T56" s="13" cm="1">
        <f t="array" ref="T56">_xlfn.IFS(G56&gt;=90, 1.5,G56&gt;=60, 1.2,G56&lt;60,1)</f>
        <v>1.2</v>
      </c>
      <c r="U56" s="13" cm="1">
        <f t="array" ref="U56">_xlfn.IFS(H56&gt;=90, 1.5,H56&gt;=60, 1.2,H56&lt;60,1)</f>
        <v>1</v>
      </c>
      <c r="V56" s="13" cm="1">
        <f t="array" ref="V56">_xlfn.IFS(I56&gt;=90, 1.5,I56&gt;=60, 1.2,I56&lt;60,1)</f>
        <v>1.2</v>
      </c>
      <c r="W56" s="13"/>
      <c r="X56" s="13"/>
    </row>
    <row r="57" spans="1:24" ht="15.75" customHeight="1">
      <c r="A57" s="13"/>
      <c r="B57" t="s">
        <v>240</v>
      </c>
      <c r="C57">
        <v>76</v>
      </c>
      <c r="D57">
        <v>85</v>
      </c>
      <c r="E57">
        <v>82</v>
      </c>
      <c r="F57">
        <v>93</v>
      </c>
      <c r="G57">
        <v>94</v>
      </c>
      <c r="H57">
        <v>75</v>
      </c>
      <c r="I57">
        <v>91</v>
      </c>
      <c r="K57" s="13"/>
      <c r="L57" s="13"/>
      <c r="O57" s="28" t="s">
        <v>240</v>
      </c>
      <c r="P57" s="13" cm="1">
        <f t="array" ref="P57">_xlfn.IFS(C57&gt;=90, 1.5,C57&gt;=60, 1.2,C57&lt;60,1)</f>
        <v>1.2</v>
      </c>
      <c r="Q57" s="13" cm="1">
        <f t="array" ref="Q57">_xlfn.IFS(D57&gt;=90, 1.5,D57&gt;=60, 1.2,D57&lt;60,1)</f>
        <v>1.2</v>
      </c>
      <c r="R57" s="13" cm="1">
        <f t="array" ref="R57">_xlfn.IFS(E57&gt;=90, 1.5,E57&gt;=60, 1.2,E57&lt;60,1)</f>
        <v>1.2</v>
      </c>
      <c r="S57" s="13" cm="1">
        <f t="array" ref="S57">_xlfn.IFS(F57&gt;=90, 1.5,F57&gt;=60, 1.2,F57&lt;60,1)</f>
        <v>1.5</v>
      </c>
      <c r="T57" s="13" cm="1">
        <f t="array" ref="T57">_xlfn.IFS(G57&gt;=90, 1.5,G57&gt;=60, 1.2,G57&lt;60,1)</f>
        <v>1.5</v>
      </c>
      <c r="U57" s="13" cm="1">
        <f t="array" ref="U57">_xlfn.IFS(H57&gt;=90, 1.5,H57&gt;=60, 1.2,H57&lt;60,1)</f>
        <v>1.2</v>
      </c>
      <c r="V57" s="13" cm="1">
        <f t="array" ref="V57">_xlfn.IFS(I57&gt;=90, 1.5,I57&gt;=60, 1.2,I57&lt;60,1)</f>
        <v>1.5</v>
      </c>
      <c r="W57" s="13"/>
      <c r="X57" s="13"/>
    </row>
    <row r="58" spans="1:24" ht="15.75" customHeight="1">
      <c r="A58" s="13"/>
      <c r="B58" t="s">
        <v>241</v>
      </c>
      <c r="C58">
        <v>87</v>
      </c>
      <c r="D58">
        <v>87</v>
      </c>
      <c r="E58">
        <v>75</v>
      </c>
      <c r="F58">
        <v>95</v>
      </c>
      <c r="G58">
        <v>85</v>
      </c>
      <c r="H58">
        <v>89</v>
      </c>
      <c r="I58">
        <v>81</v>
      </c>
      <c r="K58" s="13"/>
      <c r="L58" s="13"/>
      <c r="O58" s="28" t="s">
        <v>241</v>
      </c>
      <c r="P58" s="13" cm="1">
        <f t="array" ref="P58">_xlfn.IFS(C58&gt;=90, 1.5,C58&gt;=60, 1.2,C58&lt;60,1)</f>
        <v>1.2</v>
      </c>
      <c r="Q58" s="13" cm="1">
        <f t="array" ref="Q58">_xlfn.IFS(D58&gt;=90, 1.5,D58&gt;=60, 1.2,D58&lt;60,1)</f>
        <v>1.2</v>
      </c>
      <c r="R58" s="13" cm="1">
        <f t="array" ref="R58">_xlfn.IFS(E58&gt;=90, 1.5,E58&gt;=60, 1.2,E58&lt;60,1)</f>
        <v>1.2</v>
      </c>
      <c r="S58" s="13" cm="1">
        <f t="array" ref="S58">_xlfn.IFS(F58&gt;=90, 1.5,F58&gt;=60, 1.2,F58&lt;60,1)</f>
        <v>1.5</v>
      </c>
      <c r="T58" s="13" cm="1">
        <f t="array" ref="T58">_xlfn.IFS(G58&gt;=90, 1.5,G58&gt;=60, 1.2,G58&lt;60,1)</f>
        <v>1.2</v>
      </c>
      <c r="U58" s="13" cm="1">
        <f t="array" ref="U58">_xlfn.IFS(H58&gt;=90, 1.5,H58&gt;=60, 1.2,H58&lt;60,1)</f>
        <v>1.2</v>
      </c>
      <c r="V58" s="13" cm="1">
        <f t="array" ref="V58">_xlfn.IFS(I58&gt;=90, 1.5,I58&gt;=60, 1.2,I58&lt;60,1)</f>
        <v>1.2</v>
      </c>
      <c r="W58" s="13"/>
      <c r="X58" s="13"/>
    </row>
    <row r="59" spans="1:24" ht="15.75" customHeight="1">
      <c r="A59" s="13"/>
      <c r="B59" t="s">
        <v>242</v>
      </c>
      <c r="C59">
        <v>94</v>
      </c>
      <c r="D59">
        <v>75</v>
      </c>
      <c r="E59">
        <v>71</v>
      </c>
      <c r="F59">
        <v>77</v>
      </c>
      <c r="G59">
        <v>78</v>
      </c>
      <c r="H59">
        <v>72</v>
      </c>
      <c r="I59">
        <v>74</v>
      </c>
      <c r="K59" s="13"/>
      <c r="L59" s="13"/>
      <c r="O59" s="28" t="s">
        <v>242</v>
      </c>
      <c r="P59" s="13" cm="1">
        <f t="array" ref="P59">_xlfn.IFS(C59&gt;=90, 1.5,C59&gt;=60, 1.2,C59&lt;60,1)</f>
        <v>1.5</v>
      </c>
      <c r="Q59" s="13" cm="1">
        <f t="array" ref="Q59">_xlfn.IFS(D59&gt;=90, 1.5,D59&gt;=60, 1.2,D59&lt;60,1)</f>
        <v>1.2</v>
      </c>
      <c r="R59" s="13" cm="1">
        <f t="array" ref="R59">_xlfn.IFS(E59&gt;=90, 1.5,E59&gt;=60, 1.2,E59&lt;60,1)</f>
        <v>1.2</v>
      </c>
      <c r="S59" s="13" cm="1">
        <f t="array" ref="S59">_xlfn.IFS(F59&gt;=90, 1.5,F59&gt;=60, 1.2,F59&lt;60,1)</f>
        <v>1.2</v>
      </c>
      <c r="T59" s="13" cm="1">
        <f t="array" ref="T59">_xlfn.IFS(G59&gt;=90, 1.5,G59&gt;=60, 1.2,G59&lt;60,1)</f>
        <v>1.2</v>
      </c>
      <c r="U59" s="13" cm="1">
        <f t="array" ref="U59">_xlfn.IFS(H59&gt;=90, 1.5,H59&gt;=60, 1.2,H59&lt;60,1)</f>
        <v>1.2</v>
      </c>
      <c r="V59" s="13" cm="1">
        <f t="array" ref="V59">_xlfn.IFS(I59&gt;=90, 1.5,I59&gt;=60, 1.2,I59&lt;60,1)</f>
        <v>1.2</v>
      </c>
      <c r="W59" s="13"/>
      <c r="X59" s="13"/>
    </row>
    <row r="60" spans="1:24" ht="15.75" customHeight="1">
      <c r="A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P3"/>
  </mergeCells>
  <conditionalFormatting sqref="P36:V59">
    <cfRule type="colorScale" priority="1">
      <colorScale>
        <cfvo type="min"/>
        <cfvo type="max"/>
        <color rgb="FF63BE7B"/>
        <color rgb="FFFCFCFF"/>
      </colorScale>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000"/>
  <sheetViews>
    <sheetView showGridLines="0" topLeftCell="A16" workbookViewId="0">
      <selection activeCell="B7" sqref="B7:C32"/>
    </sheetView>
  </sheetViews>
  <sheetFormatPr defaultColWidth="14.453125" defaultRowHeight="15" customHeight="1"/>
  <cols>
    <col min="1" max="1" width="3" customWidth="1"/>
    <col min="2" max="2" width="12.36328125" bestFit="1" customWidth="1"/>
    <col min="3" max="3" width="19.08984375" bestFit="1" customWidth="1"/>
    <col min="4" max="4" width="9.08984375" customWidth="1"/>
    <col min="5" max="5" width="12.54296875" bestFit="1" customWidth="1"/>
    <col min="6" max="7" width="10.08984375" bestFit="1" customWidth="1"/>
    <col min="8" max="16" width="9.08984375" customWidth="1"/>
    <col min="17" max="19" width="8.90625" hidden="1" customWidth="1"/>
    <col min="20" max="23" width="10.6328125" hidden="1" customWidth="1"/>
    <col min="24" max="24" width="27" hidden="1" customWidth="1"/>
    <col min="25"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13"/>
      <c r="R2" s="13"/>
      <c r="S2" s="13"/>
      <c r="T2" s="3"/>
      <c r="U2" s="3"/>
      <c r="V2" s="3"/>
      <c r="W2" s="13"/>
      <c r="X2" s="13"/>
    </row>
    <row r="3" spans="1:24" ht="30" customHeight="1">
      <c r="A3" s="13"/>
      <c r="B3" s="44" t="s">
        <v>7</v>
      </c>
      <c r="C3" s="38"/>
      <c r="D3" s="38"/>
      <c r="E3" s="38"/>
      <c r="F3" s="38"/>
      <c r="G3" s="38"/>
      <c r="H3" s="38"/>
      <c r="I3" s="38"/>
      <c r="J3" s="38"/>
      <c r="K3" s="38"/>
      <c r="L3" s="38"/>
      <c r="M3" s="38"/>
      <c r="N3" s="38"/>
      <c r="O3" s="38"/>
      <c r="P3" s="38"/>
      <c r="Q3" s="25"/>
      <c r="R3" s="25"/>
      <c r="S3" s="25"/>
      <c r="T3" s="13"/>
      <c r="U3" s="13"/>
      <c r="V3" s="13"/>
      <c r="W3" s="13"/>
      <c r="X3" s="13"/>
    </row>
    <row r="4" spans="1:24" ht="14.5">
      <c r="A4" s="13"/>
      <c r="B4" s="21"/>
      <c r="C4" s="13"/>
      <c r="D4" s="13"/>
      <c r="E4" s="13"/>
      <c r="F4" s="13"/>
      <c r="G4" s="13"/>
      <c r="H4" s="13"/>
      <c r="I4" s="13"/>
      <c r="J4" s="13"/>
      <c r="K4" s="13"/>
      <c r="L4" s="13"/>
      <c r="M4" s="13"/>
      <c r="N4" s="13"/>
      <c r="O4" s="13"/>
      <c r="P4" s="13"/>
      <c r="Q4" s="13"/>
      <c r="R4" s="13"/>
      <c r="S4" s="13"/>
      <c r="T4" s="13"/>
      <c r="U4" s="13"/>
      <c r="V4" s="13"/>
      <c r="W4" s="13"/>
      <c r="X4" s="13"/>
    </row>
    <row r="5" spans="1:24" ht="14.5">
      <c r="A5" s="13"/>
      <c r="B5" s="13"/>
      <c r="C5" s="13"/>
      <c r="D5" s="13"/>
      <c r="E5" s="13"/>
      <c r="F5" s="13"/>
      <c r="G5" s="13"/>
      <c r="H5" s="13"/>
      <c r="I5" s="13"/>
      <c r="J5" s="13"/>
      <c r="K5" s="13"/>
      <c r="L5" s="13"/>
      <c r="M5" s="13"/>
      <c r="N5" s="13"/>
      <c r="O5" s="13"/>
      <c r="P5" s="13"/>
      <c r="Q5" s="13"/>
      <c r="R5" s="13"/>
      <c r="S5" s="13"/>
      <c r="T5" s="13"/>
      <c r="U5" s="13"/>
      <c r="V5" s="13"/>
      <c r="W5" s="13"/>
      <c r="X5" s="13"/>
    </row>
    <row r="6" spans="1:24" ht="14.5">
      <c r="A6" s="13"/>
      <c r="B6" s="13"/>
      <c r="C6" s="13"/>
      <c r="D6" s="13"/>
      <c r="E6" s="13"/>
      <c r="F6" s="13"/>
      <c r="G6" s="13"/>
      <c r="H6" s="13"/>
      <c r="I6" s="13"/>
      <c r="J6" s="13"/>
      <c r="K6" s="13"/>
      <c r="L6" s="13"/>
      <c r="M6" s="13"/>
      <c r="N6" s="13"/>
      <c r="O6" s="13"/>
      <c r="P6" s="13"/>
      <c r="Q6" s="13"/>
      <c r="R6" s="13"/>
      <c r="S6" s="13"/>
      <c r="T6" s="13"/>
      <c r="U6" s="13"/>
      <c r="V6" s="13"/>
      <c r="W6" s="13"/>
      <c r="X6" s="13"/>
    </row>
    <row r="7" spans="1:24" ht="14.5">
      <c r="A7" s="13"/>
      <c r="B7" s="27" t="s">
        <v>218</v>
      </c>
      <c r="C7" t="s">
        <v>254</v>
      </c>
      <c r="E7" s="13" t="s">
        <v>215</v>
      </c>
      <c r="F7" s="13" t="s">
        <v>256</v>
      </c>
      <c r="G7" s="13"/>
      <c r="H7" s="13"/>
      <c r="I7" s="13"/>
      <c r="J7" s="13"/>
      <c r="K7" s="13"/>
      <c r="L7" s="13"/>
      <c r="M7" s="13"/>
      <c r="N7" s="13"/>
      <c r="O7" s="13"/>
      <c r="P7" s="13"/>
      <c r="Q7" s="13"/>
      <c r="R7" s="13"/>
      <c r="S7" s="13"/>
      <c r="T7" s="13"/>
      <c r="U7" s="13"/>
      <c r="V7" s="13"/>
      <c r="W7" s="13"/>
      <c r="X7" s="13"/>
    </row>
    <row r="8" spans="1:24" ht="14.5">
      <c r="A8" s="13"/>
      <c r="B8" s="28" t="s">
        <v>219</v>
      </c>
      <c r="C8">
        <v>121</v>
      </c>
      <c r="E8" s="28" t="s">
        <v>236</v>
      </c>
      <c r="F8">
        <v>129</v>
      </c>
      <c r="G8" s="13"/>
      <c r="H8" s="13"/>
      <c r="I8" s="13"/>
      <c r="J8" s="13"/>
      <c r="K8" s="13"/>
      <c r="L8" s="13"/>
      <c r="M8" s="13"/>
      <c r="N8" s="13"/>
      <c r="O8" s="13"/>
      <c r="P8" s="13"/>
      <c r="Q8" s="13"/>
      <c r="R8" s="13"/>
      <c r="S8" s="13"/>
      <c r="T8" s="13"/>
      <c r="U8" s="13"/>
      <c r="V8" s="13"/>
      <c r="W8" s="21"/>
      <c r="X8" s="13"/>
    </row>
    <row r="9" spans="1:24" ht="14.5">
      <c r="A9" s="13"/>
      <c r="B9" s="28" t="s">
        <v>220</v>
      </c>
      <c r="C9">
        <v>58</v>
      </c>
      <c r="E9" s="28" t="s">
        <v>237</v>
      </c>
      <c r="F9">
        <v>149</v>
      </c>
      <c r="G9" s="13"/>
      <c r="H9" s="13"/>
      <c r="I9" s="13"/>
      <c r="J9" s="13"/>
      <c r="K9" s="13"/>
      <c r="L9" s="13"/>
      <c r="M9" s="13"/>
      <c r="N9" s="13"/>
      <c r="O9" s="13"/>
      <c r="P9" s="13"/>
      <c r="Q9" s="13"/>
      <c r="R9" s="13"/>
      <c r="S9" s="13"/>
      <c r="T9" s="13"/>
      <c r="U9" s="13"/>
      <c r="V9" s="13"/>
      <c r="W9" s="22"/>
      <c r="X9" s="16"/>
    </row>
    <row r="10" spans="1:24" ht="14.5">
      <c r="A10" s="13"/>
      <c r="B10" s="28" t="s">
        <v>221</v>
      </c>
      <c r="C10">
        <v>51</v>
      </c>
      <c r="E10" s="28" t="s">
        <v>238</v>
      </c>
      <c r="F10">
        <v>157</v>
      </c>
      <c r="G10" s="13"/>
      <c r="H10" s="13"/>
      <c r="I10" s="13"/>
      <c r="J10" s="13"/>
      <c r="K10" s="13"/>
      <c r="L10" s="13"/>
      <c r="M10" s="13"/>
      <c r="N10" s="13"/>
      <c r="O10" s="13"/>
      <c r="P10" s="13"/>
      <c r="Q10" s="13"/>
      <c r="R10" s="13"/>
      <c r="S10" s="13"/>
      <c r="T10" s="13"/>
      <c r="U10" s="13"/>
      <c r="V10" s="13"/>
      <c r="W10" s="22"/>
      <c r="X10" s="16"/>
    </row>
    <row r="11" spans="1:24" ht="14.5">
      <c r="A11" s="13"/>
      <c r="B11" s="28" t="s">
        <v>222</v>
      </c>
      <c r="C11">
        <v>40</v>
      </c>
      <c r="E11" s="28" t="s">
        <v>239</v>
      </c>
      <c r="F11">
        <v>128</v>
      </c>
      <c r="G11" s="13"/>
      <c r="H11" s="13"/>
      <c r="I11" s="13"/>
      <c r="J11" s="13"/>
      <c r="K11" s="13"/>
      <c r="L11" s="13"/>
      <c r="M11" s="13"/>
      <c r="N11" s="13"/>
      <c r="O11" s="13"/>
      <c r="P11" s="13"/>
      <c r="Q11" s="13"/>
      <c r="R11" s="13"/>
      <c r="S11" s="13"/>
      <c r="T11" s="13"/>
      <c r="U11" s="13"/>
      <c r="V11" s="13"/>
      <c r="W11" s="22"/>
      <c r="X11" s="16"/>
    </row>
    <row r="12" spans="1:24" ht="14.5">
      <c r="A12" s="13"/>
      <c r="B12" s="28" t="s">
        <v>223</v>
      </c>
      <c r="C12">
        <v>20</v>
      </c>
      <c r="E12" s="28" t="s">
        <v>240</v>
      </c>
      <c r="F12">
        <v>108</v>
      </c>
      <c r="G12" s="13"/>
      <c r="H12" s="13"/>
      <c r="I12" s="13"/>
      <c r="J12" s="13"/>
      <c r="K12" s="13"/>
      <c r="L12" s="13"/>
      <c r="M12" s="13"/>
      <c r="N12" s="13"/>
      <c r="O12" s="13"/>
      <c r="P12" s="13"/>
      <c r="Q12" s="13"/>
      <c r="R12" s="13"/>
      <c r="S12" s="13"/>
      <c r="T12" s="13"/>
      <c r="U12" s="13"/>
      <c r="V12" s="13"/>
      <c r="W12" s="22"/>
      <c r="X12" s="16"/>
    </row>
    <row r="13" spans="1:24" ht="14.5">
      <c r="A13" s="13"/>
      <c r="B13" s="28" t="s">
        <v>224</v>
      </c>
      <c r="C13">
        <v>20</v>
      </c>
      <c r="E13" s="28" t="s">
        <v>257</v>
      </c>
      <c r="F13" s="13">
        <f>SUM(F8:F12)</f>
        <v>671</v>
      </c>
      <c r="G13" s="13"/>
      <c r="H13" s="13"/>
      <c r="I13" s="13"/>
      <c r="J13" s="13"/>
      <c r="K13" s="13"/>
      <c r="L13" s="13"/>
      <c r="M13" s="13"/>
      <c r="N13" s="13"/>
      <c r="O13" s="13"/>
      <c r="P13" s="13"/>
      <c r="Q13" s="13"/>
      <c r="R13" s="13"/>
      <c r="S13" s="13"/>
      <c r="T13" s="13"/>
      <c r="U13" s="13"/>
      <c r="V13" s="13"/>
      <c r="W13" s="22"/>
      <c r="X13" s="16"/>
    </row>
    <row r="14" spans="1:24" ht="14.5">
      <c r="A14" s="13"/>
      <c r="B14" s="28" t="s">
        <v>225</v>
      </c>
      <c r="C14">
        <v>13</v>
      </c>
      <c r="E14" s="13"/>
      <c r="F14" s="13"/>
      <c r="G14" s="13"/>
      <c r="H14" s="13"/>
      <c r="I14" s="13"/>
      <c r="J14" s="13"/>
      <c r="K14" s="13"/>
      <c r="L14" s="13"/>
      <c r="M14" s="13"/>
      <c r="N14" s="13"/>
      <c r="O14" s="13"/>
      <c r="P14" s="13"/>
      <c r="Q14" s="13"/>
      <c r="R14" s="13"/>
      <c r="S14" s="13"/>
      <c r="T14" s="13"/>
      <c r="U14" s="13"/>
      <c r="V14" s="13"/>
      <c r="W14" s="13"/>
      <c r="X14" s="13"/>
    </row>
    <row r="15" spans="1:24" ht="14.5">
      <c r="A15" s="13"/>
      <c r="B15" s="28" t="s">
        <v>226</v>
      </c>
      <c r="C15">
        <v>59</v>
      </c>
      <c r="E15" s="13"/>
      <c r="F15" s="32">
        <f>F13*10</f>
        <v>6710</v>
      </c>
      <c r="G15" s="33">
        <f>F15*0.2</f>
        <v>1342</v>
      </c>
      <c r="H15" s="13"/>
      <c r="I15" s="13"/>
      <c r="J15" s="13"/>
      <c r="K15" s="13"/>
      <c r="L15" s="13"/>
      <c r="M15" s="13"/>
      <c r="N15" s="13"/>
      <c r="O15" s="13"/>
      <c r="P15" s="13"/>
      <c r="Q15" s="13"/>
      <c r="R15" s="13"/>
      <c r="S15" s="13"/>
      <c r="T15" s="13"/>
      <c r="U15" s="13"/>
      <c r="V15" s="13"/>
      <c r="W15" s="13"/>
      <c r="X15" s="13"/>
    </row>
    <row r="16" spans="1:24" ht="14.5">
      <c r="A16" s="13"/>
      <c r="B16" s="28" t="s">
        <v>227</v>
      </c>
      <c r="C16">
        <v>92</v>
      </c>
      <c r="E16" s="13"/>
      <c r="F16" s="32"/>
      <c r="G16" s="13"/>
      <c r="H16" s="13"/>
      <c r="I16" s="13"/>
      <c r="J16" s="13"/>
      <c r="K16" s="13"/>
      <c r="L16" s="13"/>
      <c r="M16" s="13"/>
      <c r="N16" s="13"/>
      <c r="O16" s="13"/>
      <c r="P16" s="13"/>
      <c r="Q16" s="13"/>
      <c r="R16" s="13"/>
      <c r="S16" s="13"/>
      <c r="T16" s="13"/>
      <c r="U16" s="13"/>
      <c r="V16" s="13"/>
      <c r="W16" s="13"/>
      <c r="X16" s="13"/>
    </row>
    <row r="17" spans="1:24" ht="14.5">
      <c r="A17" s="13"/>
      <c r="B17" s="28" t="s">
        <v>228</v>
      </c>
      <c r="C17">
        <v>134</v>
      </c>
      <c r="E17" s="13" t="s">
        <v>258</v>
      </c>
      <c r="F17" s="33">
        <f>F15-G15</f>
        <v>5368</v>
      </c>
      <c r="G17" s="13"/>
      <c r="H17" s="13"/>
      <c r="I17" s="13"/>
      <c r="J17" s="13"/>
      <c r="K17" s="13"/>
      <c r="L17" s="13"/>
      <c r="M17" s="13"/>
      <c r="N17" s="13"/>
      <c r="O17" s="13"/>
      <c r="P17" s="13"/>
      <c r="Q17" s="13"/>
      <c r="R17" s="13"/>
      <c r="S17" s="13"/>
      <c r="T17" s="13"/>
      <c r="U17" s="13"/>
      <c r="V17" s="13"/>
      <c r="W17" s="13"/>
      <c r="X17" s="13"/>
    </row>
    <row r="18" spans="1:24" ht="14.5">
      <c r="A18" s="13"/>
      <c r="B18" s="28" t="s">
        <v>229</v>
      </c>
      <c r="C18">
        <v>53</v>
      </c>
      <c r="E18" s="13"/>
      <c r="F18" s="13"/>
      <c r="G18" s="13"/>
      <c r="H18" s="13"/>
      <c r="I18" s="13"/>
      <c r="J18" s="13"/>
      <c r="K18" s="13"/>
      <c r="L18" s="13"/>
      <c r="M18" s="13"/>
      <c r="N18" s="13"/>
      <c r="O18" s="13"/>
      <c r="P18" s="13"/>
      <c r="Q18" s="13"/>
      <c r="R18" s="13"/>
      <c r="S18" s="13"/>
      <c r="T18" s="13"/>
      <c r="U18" s="13"/>
      <c r="V18" s="13"/>
      <c r="W18" s="13"/>
      <c r="X18" s="13"/>
    </row>
    <row r="19" spans="1:24" ht="14.5">
      <c r="A19" s="13"/>
      <c r="B19" s="28" t="s">
        <v>230</v>
      </c>
      <c r="C19">
        <v>49</v>
      </c>
      <c r="E19" s="13"/>
      <c r="F19" s="13"/>
      <c r="G19" s="13"/>
      <c r="H19" s="13"/>
      <c r="I19" s="13"/>
      <c r="J19" s="13"/>
      <c r="K19" s="13"/>
      <c r="L19" s="13"/>
      <c r="M19" s="13"/>
      <c r="N19" s="13"/>
      <c r="O19" s="13"/>
      <c r="P19" s="13"/>
      <c r="Q19" s="13"/>
      <c r="R19" s="13"/>
      <c r="S19" s="13"/>
      <c r="T19" s="13"/>
      <c r="U19" s="13"/>
      <c r="V19" s="13"/>
      <c r="W19" s="13"/>
      <c r="X19" s="13"/>
    </row>
    <row r="20" spans="1:24" ht="14.5">
      <c r="A20" s="13"/>
      <c r="B20" s="28" t="s">
        <v>231</v>
      </c>
      <c r="C20">
        <v>55</v>
      </c>
      <c r="E20" s="13"/>
      <c r="F20" s="13"/>
      <c r="G20" s="13"/>
      <c r="H20" s="13"/>
      <c r="I20" s="13"/>
      <c r="J20" s="13"/>
      <c r="K20" s="13"/>
      <c r="L20" s="13"/>
      <c r="M20" s="13"/>
      <c r="N20" s="13"/>
      <c r="O20" s="13"/>
      <c r="P20" s="13"/>
      <c r="Q20" s="13"/>
      <c r="R20" s="13"/>
      <c r="S20" s="13"/>
      <c r="T20" s="13"/>
      <c r="U20" s="13"/>
      <c r="V20" s="13"/>
      <c r="W20" s="13"/>
      <c r="X20" s="13"/>
    </row>
    <row r="21" spans="1:24" ht="15.75" customHeight="1">
      <c r="A21" s="13"/>
      <c r="B21" s="28" t="s">
        <v>232</v>
      </c>
      <c r="C21">
        <v>60</v>
      </c>
      <c r="E21" s="13"/>
      <c r="F21" s="13"/>
      <c r="G21" s="13"/>
      <c r="H21" s="13"/>
      <c r="I21" s="13"/>
      <c r="J21" s="13"/>
      <c r="K21" s="13"/>
      <c r="L21" s="13"/>
      <c r="M21" s="13"/>
      <c r="N21" s="13"/>
      <c r="O21" s="13"/>
      <c r="P21" s="13"/>
      <c r="Q21" s="13"/>
      <c r="R21" s="13"/>
      <c r="S21" s="13"/>
      <c r="T21" s="13"/>
      <c r="U21" s="13"/>
      <c r="V21" s="13"/>
      <c r="W21" s="13"/>
      <c r="X21" s="13"/>
    </row>
    <row r="22" spans="1:24" ht="15.75" customHeight="1">
      <c r="A22" s="13"/>
      <c r="B22" s="28" t="s">
        <v>233</v>
      </c>
      <c r="C22">
        <v>46</v>
      </c>
      <c r="E22" s="13"/>
      <c r="F22" s="13"/>
      <c r="G22" s="13"/>
      <c r="H22" s="13"/>
      <c r="I22" s="13"/>
      <c r="J22" s="13"/>
      <c r="K22" s="13"/>
      <c r="L22" s="13"/>
      <c r="M22" s="13"/>
      <c r="N22" s="13"/>
      <c r="O22" s="13"/>
      <c r="P22" s="13"/>
      <c r="Q22" s="13"/>
      <c r="R22" s="13"/>
      <c r="S22" s="13"/>
      <c r="T22" s="13"/>
      <c r="U22" s="13"/>
      <c r="V22" s="13"/>
      <c r="W22" s="13"/>
      <c r="X22" s="13"/>
    </row>
    <row r="23" spans="1:24" ht="15.75" customHeight="1">
      <c r="A23" s="13"/>
      <c r="B23" s="28" t="s">
        <v>234</v>
      </c>
      <c r="C23">
        <v>45</v>
      </c>
      <c r="E23" s="13"/>
      <c r="F23" s="13"/>
      <c r="G23" s="13"/>
      <c r="H23" s="13"/>
      <c r="I23" s="13"/>
      <c r="J23" s="13"/>
      <c r="K23" s="13"/>
      <c r="L23" s="13"/>
      <c r="M23" s="13"/>
      <c r="N23" s="13"/>
      <c r="O23" s="13"/>
      <c r="P23" s="13"/>
      <c r="Q23" s="13"/>
      <c r="R23" s="13"/>
      <c r="S23" s="13"/>
      <c r="T23" s="13"/>
      <c r="U23" s="13"/>
      <c r="V23" s="13"/>
      <c r="W23" s="13"/>
      <c r="X23" s="13"/>
    </row>
    <row r="24" spans="1:24" ht="15.75" customHeight="1">
      <c r="A24" s="13"/>
      <c r="B24" s="28" t="s">
        <v>235</v>
      </c>
      <c r="C24">
        <v>84</v>
      </c>
      <c r="E24" s="13"/>
      <c r="F24" s="13"/>
      <c r="G24" s="13"/>
      <c r="H24" s="13"/>
      <c r="I24" s="13"/>
      <c r="J24" s="13"/>
      <c r="K24" s="13"/>
      <c r="L24" s="13"/>
      <c r="M24" s="13"/>
      <c r="N24" s="13"/>
      <c r="O24" s="13"/>
      <c r="P24" s="13"/>
      <c r="Q24" s="13"/>
      <c r="R24" s="13"/>
      <c r="S24" s="13"/>
      <c r="T24" s="13"/>
      <c r="U24" s="13"/>
      <c r="V24" s="13"/>
      <c r="W24" s="13"/>
      <c r="X24" s="13"/>
    </row>
    <row r="25" spans="1:24" ht="15.75" customHeight="1">
      <c r="A25" s="13"/>
      <c r="B25" s="28" t="s">
        <v>236</v>
      </c>
      <c r="C25">
        <v>129</v>
      </c>
      <c r="D25" s="13"/>
      <c r="E25" s="13"/>
      <c r="F25" s="13"/>
      <c r="G25" s="13"/>
      <c r="H25" s="13"/>
      <c r="I25" s="13"/>
      <c r="J25" s="13"/>
      <c r="K25" s="13"/>
      <c r="L25" s="13"/>
      <c r="M25" s="13"/>
      <c r="N25" s="13"/>
      <c r="O25" s="13"/>
      <c r="P25" s="13"/>
      <c r="Q25" s="13"/>
      <c r="R25" s="13"/>
      <c r="S25" s="13"/>
      <c r="T25" s="13"/>
      <c r="U25" s="13"/>
      <c r="V25" s="13"/>
      <c r="W25" s="13"/>
      <c r="X25" s="13"/>
    </row>
    <row r="26" spans="1:24" ht="15.75" customHeight="1">
      <c r="A26" s="13"/>
      <c r="B26" s="28" t="s">
        <v>237</v>
      </c>
      <c r="C26">
        <v>149</v>
      </c>
      <c r="D26" s="13"/>
      <c r="E26" s="13"/>
      <c r="F26" s="13"/>
      <c r="G26" s="13"/>
      <c r="H26" s="13"/>
      <c r="I26" s="13"/>
      <c r="J26" s="13"/>
      <c r="K26" s="13"/>
      <c r="L26" s="13"/>
      <c r="M26" s="13"/>
      <c r="N26" s="13"/>
      <c r="O26" s="13"/>
      <c r="P26" s="13"/>
      <c r="Q26" s="13"/>
      <c r="R26" s="13"/>
      <c r="S26" s="13"/>
      <c r="T26" s="13"/>
      <c r="U26" s="13"/>
      <c r="V26" s="13"/>
      <c r="W26" s="13"/>
      <c r="X26" s="13"/>
    </row>
    <row r="27" spans="1:24" ht="15.75" customHeight="1">
      <c r="A27" s="13"/>
      <c r="B27" s="28" t="s">
        <v>238</v>
      </c>
      <c r="C27">
        <v>157</v>
      </c>
      <c r="D27" s="13"/>
      <c r="E27" s="13"/>
      <c r="F27" s="13"/>
      <c r="G27" s="13"/>
      <c r="H27" s="13"/>
      <c r="I27" s="13"/>
      <c r="J27" s="13"/>
      <c r="K27" s="13"/>
      <c r="L27" s="13"/>
      <c r="M27" s="13"/>
      <c r="N27" s="13"/>
      <c r="O27" s="13"/>
      <c r="P27" s="13"/>
      <c r="Q27" s="13"/>
      <c r="R27" s="13"/>
      <c r="S27" s="13"/>
      <c r="T27" s="13"/>
      <c r="U27" s="13"/>
      <c r="V27" s="13"/>
      <c r="W27" s="13"/>
      <c r="X27" s="13"/>
    </row>
    <row r="28" spans="1:24" ht="15.75" customHeight="1">
      <c r="A28" s="13"/>
      <c r="B28" s="28" t="s">
        <v>239</v>
      </c>
      <c r="C28">
        <v>128</v>
      </c>
      <c r="D28" s="13"/>
      <c r="E28" s="13"/>
      <c r="F28" s="13"/>
      <c r="G28" s="13"/>
      <c r="H28" s="13"/>
      <c r="I28" s="13"/>
      <c r="J28" s="13"/>
      <c r="K28" s="13"/>
      <c r="L28" s="13"/>
      <c r="M28" s="13"/>
      <c r="N28" s="13"/>
      <c r="O28" s="13"/>
      <c r="P28" s="13"/>
      <c r="Q28" s="13"/>
      <c r="R28" s="13"/>
      <c r="S28" s="13"/>
      <c r="T28" s="13"/>
      <c r="U28" s="13"/>
      <c r="V28" s="13"/>
      <c r="W28" s="13"/>
      <c r="X28" s="13"/>
    </row>
    <row r="29" spans="1:24" ht="15.75" customHeight="1">
      <c r="A29" s="13"/>
      <c r="B29" s="28" t="s">
        <v>240</v>
      </c>
      <c r="C29">
        <v>108</v>
      </c>
      <c r="D29" s="13"/>
      <c r="E29" s="13"/>
      <c r="F29" s="13"/>
      <c r="G29" s="13"/>
      <c r="H29" s="13"/>
      <c r="I29" s="13"/>
      <c r="J29" s="13"/>
      <c r="K29" s="13"/>
      <c r="L29" s="13"/>
      <c r="M29" s="13"/>
      <c r="N29" s="13"/>
      <c r="O29" s="13"/>
      <c r="P29" s="13"/>
      <c r="Q29" s="13"/>
      <c r="R29" s="13"/>
      <c r="S29" s="13"/>
      <c r="T29" s="13"/>
      <c r="U29" s="13"/>
      <c r="V29" s="13"/>
      <c r="W29" s="13"/>
      <c r="X29" s="13"/>
    </row>
    <row r="30" spans="1:24" ht="15.75" customHeight="1">
      <c r="A30" s="13"/>
      <c r="B30" s="28" t="s">
        <v>241</v>
      </c>
      <c r="C30">
        <v>103</v>
      </c>
      <c r="D30" s="13"/>
      <c r="E30" s="13"/>
      <c r="F30" s="13"/>
      <c r="G30" s="13"/>
      <c r="H30" s="13"/>
      <c r="I30" s="13"/>
      <c r="J30" s="13"/>
      <c r="K30" s="13"/>
      <c r="L30" s="13"/>
      <c r="M30" s="13"/>
      <c r="N30" s="13"/>
      <c r="O30" s="13"/>
      <c r="P30" s="13"/>
      <c r="Q30" s="13"/>
      <c r="R30" s="13"/>
      <c r="S30" s="13"/>
      <c r="T30" s="13"/>
      <c r="U30" s="13"/>
      <c r="V30" s="13"/>
      <c r="W30" s="13"/>
      <c r="X30" s="13"/>
    </row>
    <row r="31" spans="1:24" ht="15.75" customHeight="1">
      <c r="A31" s="13"/>
      <c r="B31" s="28" t="s">
        <v>242</v>
      </c>
      <c r="C31">
        <v>151</v>
      </c>
      <c r="D31" s="13"/>
      <c r="E31" s="13"/>
      <c r="F31" s="13"/>
      <c r="G31" s="13"/>
      <c r="H31" s="13"/>
      <c r="I31" s="13"/>
      <c r="J31" s="13"/>
      <c r="K31" s="13"/>
      <c r="L31" s="13"/>
      <c r="M31" s="13"/>
      <c r="N31" s="13"/>
      <c r="O31" s="13"/>
      <c r="P31" s="13"/>
      <c r="Q31" s="13"/>
      <c r="R31" s="13"/>
      <c r="S31" s="13"/>
      <c r="T31" s="13"/>
      <c r="U31" s="13"/>
      <c r="V31" s="13"/>
      <c r="W31" s="13"/>
      <c r="X31" s="13"/>
    </row>
    <row r="32" spans="1:24" ht="15.75" customHeight="1">
      <c r="A32" s="13"/>
      <c r="B32" s="28" t="s">
        <v>243</v>
      </c>
      <c r="C32">
        <v>1925</v>
      </c>
      <c r="D32" s="13"/>
      <c r="E32" s="13"/>
      <c r="F32" s="13"/>
      <c r="G32" s="13"/>
      <c r="H32" s="13"/>
      <c r="I32" s="13"/>
      <c r="J32" s="13"/>
      <c r="K32" s="13"/>
      <c r="L32" s="13"/>
      <c r="M32" s="13"/>
      <c r="N32" s="13"/>
      <c r="O32" s="13"/>
      <c r="P32" s="13"/>
      <c r="Q32" s="13"/>
      <c r="R32" s="13"/>
      <c r="S32" s="13"/>
      <c r="T32" s="13"/>
      <c r="U32" s="13"/>
      <c r="V32" s="13"/>
      <c r="W32" s="13"/>
      <c r="X32" s="13"/>
    </row>
    <row r="33" spans="1:24"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row>
    <row r="34" spans="1:2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row>
    <row r="35" spans="1:24"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row>
    <row r="36" spans="1:24"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row>
    <row r="37" spans="1:24"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row>
    <row r="38" spans="1:24"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row>
    <row r="39" spans="1:24"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row>
    <row r="40" spans="1:24"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row>
    <row r="41" spans="1:24"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row>
    <row r="42" spans="1:24"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row>
    <row r="43" spans="1:2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P3"/>
  </mergeCells>
  <pageMargins left="0.7" right="0.7" top="0.75" bottom="0.75" header="0" footer="0"/>
  <pageSetup paperSize="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1000"/>
  <sheetViews>
    <sheetView showGridLines="0" topLeftCell="A2" workbookViewId="0">
      <selection activeCell="D6" sqref="D6"/>
    </sheetView>
  </sheetViews>
  <sheetFormatPr defaultColWidth="14.453125" defaultRowHeight="15" customHeight="1"/>
  <cols>
    <col min="1" max="1" width="3" customWidth="1"/>
    <col min="2" max="2" width="12.36328125" bestFit="1" customWidth="1"/>
    <col min="3" max="3" width="30.81640625" bestFit="1" customWidth="1"/>
    <col min="4" max="4" width="27.54296875" bestFit="1" customWidth="1"/>
    <col min="5" max="5" width="20" bestFit="1" customWidth="1"/>
    <col min="6" max="16" width="9.08984375" customWidth="1"/>
    <col min="17" max="17" width="35.90625" hidden="1" customWidth="1"/>
    <col min="18" max="18" width="22" hidden="1" customWidth="1"/>
    <col min="19" max="19" width="35.90625" hidden="1" customWidth="1"/>
    <col min="20" max="20" width="22" hidden="1" customWidth="1"/>
    <col min="21" max="21" width="35.90625" hidden="1" customWidth="1"/>
    <col min="22" max="22" width="22" hidden="1" customWidth="1"/>
    <col min="23" max="24" width="10.6328125" hidden="1" customWidth="1"/>
    <col min="25" max="26" width="10.6328125" customWidth="1"/>
  </cols>
  <sheetData>
    <row r="1" spans="1:24" ht="54.75" customHeight="1">
      <c r="A1" s="1"/>
      <c r="B1" s="1"/>
      <c r="C1" s="1"/>
      <c r="D1" s="2"/>
      <c r="E1" s="1"/>
      <c r="F1" s="1"/>
      <c r="G1" s="1"/>
      <c r="H1" s="1"/>
      <c r="I1" s="1"/>
      <c r="J1" s="1"/>
      <c r="K1" s="1"/>
      <c r="L1" s="1"/>
      <c r="M1" s="13"/>
      <c r="N1" s="13"/>
      <c r="O1" s="13"/>
      <c r="P1" s="13"/>
      <c r="Q1" s="13"/>
      <c r="R1" s="13"/>
      <c r="S1" s="13"/>
      <c r="T1" s="13"/>
      <c r="U1" s="13"/>
      <c r="V1" s="13"/>
      <c r="W1" s="13"/>
      <c r="X1" s="13"/>
    </row>
    <row r="2" spans="1:24" ht="14.5">
      <c r="A2" s="3"/>
      <c r="B2" s="3"/>
      <c r="C2" s="3"/>
      <c r="D2" s="3"/>
      <c r="E2" s="3"/>
      <c r="F2" s="3"/>
      <c r="G2" s="3"/>
      <c r="H2" s="3"/>
      <c r="I2" s="3"/>
      <c r="J2" s="3"/>
      <c r="K2" s="3"/>
      <c r="L2" s="3"/>
      <c r="M2" s="3"/>
      <c r="N2" s="3"/>
      <c r="O2" s="3"/>
      <c r="P2" s="3"/>
      <c r="Q2" s="3"/>
      <c r="R2" s="3"/>
      <c r="S2" s="3"/>
      <c r="T2" s="3"/>
      <c r="U2" s="3"/>
      <c r="V2" s="3"/>
      <c r="W2" s="13"/>
      <c r="X2" s="13"/>
    </row>
    <row r="3" spans="1:24" ht="16.5" customHeight="1">
      <c r="A3" s="13"/>
      <c r="B3" s="44" t="s">
        <v>8</v>
      </c>
      <c r="C3" s="38"/>
      <c r="D3" s="38"/>
      <c r="E3" s="38"/>
      <c r="F3" s="38"/>
      <c r="G3" s="38"/>
      <c r="H3" s="38"/>
      <c r="I3" s="38"/>
      <c r="J3" s="38"/>
      <c r="K3" s="38"/>
      <c r="L3" s="38"/>
      <c r="M3" s="38"/>
      <c r="N3" s="38"/>
      <c r="O3" s="38"/>
      <c r="P3" s="38"/>
      <c r="Q3" s="13"/>
      <c r="R3" s="13"/>
      <c r="S3" s="13"/>
      <c r="T3" s="13"/>
      <c r="U3" s="13"/>
      <c r="V3" s="13"/>
      <c r="W3" s="13"/>
      <c r="X3" s="13"/>
    </row>
    <row r="4" spans="1:24" ht="14.5">
      <c r="A4" s="13"/>
      <c r="B4" s="25"/>
      <c r="C4" s="25"/>
      <c r="D4" s="25"/>
      <c r="E4" s="25"/>
      <c r="F4" s="25"/>
      <c r="G4" s="25"/>
      <c r="H4" s="25"/>
      <c r="I4" s="25"/>
      <c r="J4" s="25"/>
      <c r="K4" s="25"/>
      <c r="L4" s="25"/>
      <c r="M4" s="25"/>
      <c r="N4" s="25"/>
      <c r="O4" s="25"/>
      <c r="P4" s="25"/>
      <c r="Q4" s="13"/>
      <c r="R4" s="13"/>
      <c r="S4" s="13"/>
      <c r="T4" s="13"/>
      <c r="U4" s="13"/>
      <c r="V4" s="13"/>
      <c r="W4" s="13"/>
      <c r="X4" s="13"/>
    </row>
    <row r="5" spans="1:24" ht="14.5">
      <c r="A5" s="13"/>
      <c r="B5" s="13"/>
      <c r="C5" s="13"/>
      <c r="D5" s="13"/>
      <c r="E5" s="13"/>
      <c r="F5" s="13"/>
      <c r="G5" s="13"/>
      <c r="H5" s="13"/>
      <c r="I5" s="13"/>
      <c r="J5" s="13"/>
      <c r="K5" s="13"/>
      <c r="L5" s="13"/>
      <c r="M5" s="13"/>
      <c r="N5" s="13"/>
      <c r="O5" s="13"/>
      <c r="P5" s="13"/>
      <c r="Q5" s="13"/>
      <c r="R5" s="13"/>
      <c r="S5" s="13"/>
      <c r="T5" s="13"/>
      <c r="U5" s="13"/>
      <c r="V5" s="13"/>
      <c r="W5" s="13"/>
      <c r="X5" s="13"/>
    </row>
    <row r="6" spans="1:24" ht="14.5">
      <c r="A6" s="13"/>
      <c r="B6" s="27" t="s">
        <v>218</v>
      </c>
      <c r="C6" t="s">
        <v>260</v>
      </c>
      <c r="D6" t="s">
        <v>268</v>
      </c>
      <c r="E6" t="s">
        <v>270</v>
      </c>
      <c r="F6" s="13"/>
      <c r="G6" s="13"/>
      <c r="H6" s="13"/>
      <c r="I6" s="13"/>
      <c r="J6" s="13"/>
      <c r="K6" s="13"/>
      <c r="L6" s="13"/>
      <c r="M6" s="13"/>
      <c r="N6" s="13"/>
      <c r="O6" s="13"/>
      <c r="P6" s="13"/>
      <c r="Q6" s="13"/>
      <c r="R6" s="13"/>
      <c r="S6" s="13"/>
      <c r="T6" s="13"/>
      <c r="U6" s="13"/>
      <c r="V6" s="13"/>
      <c r="W6" s="13"/>
      <c r="X6" s="13"/>
    </row>
    <row r="7" spans="1:24" ht="14.5">
      <c r="A7" s="13"/>
      <c r="B7" s="28" t="s">
        <v>261</v>
      </c>
      <c r="C7">
        <v>563</v>
      </c>
      <c r="D7">
        <v>100</v>
      </c>
      <c r="E7">
        <v>44674</v>
      </c>
      <c r="F7" s="13"/>
      <c r="G7" s="13"/>
      <c r="H7" s="13"/>
      <c r="I7" s="13"/>
      <c r="J7" s="13"/>
      <c r="K7" s="13"/>
      <c r="L7" s="13"/>
      <c r="M7" s="13"/>
      <c r="N7" s="13"/>
      <c r="O7" s="13"/>
      <c r="P7" s="13"/>
      <c r="Q7" s="13"/>
      <c r="R7" s="13"/>
      <c r="S7" s="13"/>
      <c r="T7" s="13"/>
      <c r="U7" s="13"/>
      <c r="V7" s="13"/>
      <c r="W7" s="13"/>
      <c r="X7" s="13"/>
    </row>
    <row r="8" spans="1:24" ht="14.5">
      <c r="A8" s="13"/>
      <c r="B8" s="28" t="s">
        <v>262</v>
      </c>
      <c r="C8">
        <v>697</v>
      </c>
      <c r="D8">
        <v>100</v>
      </c>
      <c r="E8">
        <v>54283</v>
      </c>
      <c r="F8" s="13"/>
      <c r="G8" s="13"/>
      <c r="H8" s="13"/>
      <c r="I8" s="13"/>
      <c r="J8" s="13"/>
      <c r="K8" s="13"/>
      <c r="L8" s="13"/>
      <c r="M8" s="13"/>
      <c r="N8" s="13"/>
      <c r="O8" s="13"/>
      <c r="P8" s="13"/>
      <c r="Q8" s="13"/>
      <c r="R8" s="13"/>
      <c r="S8" s="13"/>
      <c r="T8" s="13"/>
      <c r="U8" s="13"/>
      <c r="V8" s="13"/>
      <c r="W8" s="13"/>
      <c r="X8" s="13"/>
    </row>
    <row r="9" spans="1:24" ht="14.5">
      <c r="A9" s="13"/>
      <c r="B9" s="28" t="s">
        <v>263</v>
      </c>
      <c r="C9">
        <v>731</v>
      </c>
      <c r="D9">
        <v>95</v>
      </c>
      <c r="E9">
        <v>57409</v>
      </c>
      <c r="F9" s="13"/>
      <c r="G9" s="13"/>
      <c r="H9" s="13"/>
      <c r="I9" s="13"/>
      <c r="J9" s="13"/>
      <c r="K9" s="13"/>
      <c r="L9" s="13"/>
      <c r="M9" s="13"/>
      <c r="N9" s="13"/>
      <c r="O9" s="13"/>
      <c r="P9" s="13"/>
      <c r="Q9" s="13"/>
      <c r="R9" s="13"/>
      <c r="S9" s="13"/>
      <c r="T9" s="13"/>
      <c r="U9" s="13"/>
      <c r="V9" s="13"/>
      <c r="W9" s="13"/>
      <c r="X9" s="13"/>
    </row>
    <row r="10" spans="1:24" ht="14.5">
      <c r="A10" s="13"/>
      <c r="B10" s="28" t="s">
        <v>264</v>
      </c>
      <c r="C10">
        <v>665</v>
      </c>
      <c r="D10">
        <v>100</v>
      </c>
      <c r="E10">
        <v>53096</v>
      </c>
      <c r="F10" s="13"/>
      <c r="G10" s="13"/>
      <c r="H10" s="13"/>
      <c r="I10" s="13"/>
      <c r="J10" s="13"/>
      <c r="K10" s="13"/>
      <c r="L10" s="13"/>
      <c r="M10" s="13"/>
      <c r="N10" s="13"/>
      <c r="O10" s="13"/>
      <c r="P10" s="13"/>
      <c r="Q10" s="13"/>
      <c r="R10" s="13"/>
      <c r="S10" s="13"/>
      <c r="T10" s="13"/>
      <c r="U10" s="13"/>
      <c r="V10" s="13"/>
      <c r="W10" s="13"/>
      <c r="X10" s="13"/>
    </row>
    <row r="11" spans="1:24" ht="14.5">
      <c r="A11" s="13"/>
      <c r="B11" s="28" t="s">
        <v>265</v>
      </c>
      <c r="C11">
        <v>927</v>
      </c>
      <c r="D11">
        <v>92</v>
      </c>
      <c r="E11">
        <v>63850</v>
      </c>
      <c r="F11" s="13"/>
      <c r="G11" s="13"/>
      <c r="H11" s="13"/>
      <c r="I11" s="13"/>
      <c r="J11" s="13"/>
      <c r="K11" s="13"/>
      <c r="L11" s="13"/>
      <c r="M11" s="13"/>
      <c r="N11" s="13"/>
      <c r="O11" s="13"/>
      <c r="P11" s="13"/>
      <c r="Q11" s="13"/>
      <c r="R11" s="13"/>
      <c r="S11" s="13"/>
      <c r="T11" s="13"/>
      <c r="U11" s="13"/>
      <c r="V11" s="13"/>
      <c r="W11" s="13"/>
      <c r="X11" s="13"/>
    </row>
    <row r="12" spans="1:24" ht="14.5">
      <c r="A12" s="13"/>
      <c r="B12" s="28" t="s">
        <v>266</v>
      </c>
      <c r="C12">
        <v>835</v>
      </c>
      <c r="D12">
        <v>94</v>
      </c>
      <c r="E12">
        <v>62918</v>
      </c>
      <c r="F12" s="13"/>
      <c r="G12" s="13"/>
      <c r="H12" s="13"/>
      <c r="I12" s="13"/>
      <c r="J12" s="13"/>
      <c r="K12" s="13"/>
      <c r="L12" s="13"/>
      <c r="M12" s="13"/>
      <c r="N12" s="13"/>
      <c r="O12" s="13"/>
      <c r="P12" s="13"/>
      <c r="Q12" s="13"/>
      <c r="R12" s="13"/>
      <c r="S12" s="13"/>
      <c r="T12" s="13"/>
      <c r="U12" s="13"/>
      <c r="V12" s="13"/>
      <c r="W12" s="13"/>
      <c r="X12" s="13"/>
    </row>
    <row r="13" spans="1:24" ht="14.5">
      <c r="A13" s="13"/>
      <c r="B13" s="28" t="s">
        <v>267</v>
      </c>
      <c r="C13">
        <v>771</v>
      </c>
      <c r="D13">
        <v>94</v>
      </c>
      <c r="E13">
        <v>59887</v>
      </c>
      <c r="F13" s="13"/>
      <c r="G13" s="13"/>
      <c r="H13" s="13"/>
      <c r="I13" s="13"/>
      <c r="J13" s="13"/>
      <c r="K13" s="13"/>
      <c r="L13" s="13"/>
      <c r="M13" s="13"/>
      <c r="N13" s="13"/>
      <c r="O13" s="13"/>
      <c r="P13" s="13"/>
      <c r="Q13" s="13"/>
      <c r="R13" s="13"/>
      <c r="S13" s="13"/>
      <c r="T13" s="13"/>
      <c r="U13" s="13"/>
      <c r="V13" s="13"/>
      <c r="W13" s="13"/>
      <c r="X13" s="13"/>
    </row>
    <row r="14" spans="1:24" ht="14.5">
      <c r="A14" s="13"/>
      <c r="B14" s="28" t="s">
        <v>243</v>
      </c>
      <c r="C14">
        <v>5189</v>
      </c>
      <c r="D14">
        <v>100</v>
      </c>
      <c r="E14">
        <v>396117</v>
      </c>
      <c r="F14" s="13"/>
      <c r="G14" s="13"/>
      <c r="H14" s="13"/>
      <c r="I14" s="13"/>
      <c r="J14" s="13"/>
      <c r="K14" s="13"/>
      <c r="L14" s="13"/>
      <c r="M14" s="13"/>
      <c r="N14" s="13"/>
      <c r="O14" s="13"/>
      <c r="P14" s="13"/>
      <c r="Q14" s="13"/>
      <c r="R14" s="13"/>
      <c r="S14" s="13"/>
      <c r="T14" s="13"/>
      <c r="U14" s="13"/>
      <c r="V14" s="13"/>
      <c r="W14" s="13"/>
      <c r="X14" s="13"/>
    </row>
    <row r="15" spans="1:24" ht="14.5">
      <c r="A15" s="13"/>
      <c r="E15" s="13"/>
      <c r="F15" s="13"/>
      <c r="G15" s="13"/>
      <c r="H15" s="13"/>
      <c r="I15" s="13"/>
      <c r="J15" s="13"/>
      <c r="K15" s="13"/>
      <c r="L15" s="13"/>
      <c r="M15" s="13"/>
      <c r="N15" s="13"/>
      <c r="O15" s="13"/>
      <c r="P15" s="13"/>
      <c r="Q15" s="13"/>
      <c r="R15" s="13"/>
      <c r="S15" s="13"/>
      <c r="T15" s="13"/>
      <c r="U15" s="13"/>
      <c r="V15" s="13"/>
      <c r="W15" s="13"/>
      <c r="X15" s="13"/>
    </row>
    <row r="16" spans="1:24" ht="14.5">
      <c r="A16" s="13"/>
      <c r="E16" s="13"/>
      <c r="F16" s="13"/>
      <c r="G16" s="13"/>
      <c r="H16" s="13"/>
      <c r="I16" s="13"/>
      <c r="J16" s="13"/>
      <c r="K16" s="13"/>
      <c r="L16" s="13"/>
      <c r="M16" s="13"/>
      <c r="N16" s="13"/>
      <c r="O16" s="13"/>
      <c r="P16" s="13"/>
      <c r="Q16" s="13"/>
      <c r="R16" s="13"/>
      <c r="S16" s="13"/>
      <c r="T16" s="13"/>
      <c r="U16" s="13"/>
      <c r="V16" s="13"/>
      <c r="W16" s="13"/>
      <c r="X16" s="13"/>
    </row>
    <row r="17" spans="1:24" ht="14.5">
      <c r="A17" s="13"/>
      <c r="E17" s="13"/>
      <c r="F17" s="13"/>
      <c r="G17" s="13"/>
      <c r="H17" s="13"/>
      <c r="I17" s="13"/>
      <c r="J17" s="13"/>
      <c r="K17" s="13"/>
      <c r="L17" s="13"/>
      <c r="M17" s="13"/>
      <c r="N17" s="13"/>
      <c r="O17" s="13"/>
      <c r="P17" s="13"/>
      <c r="Q17" s="13"/>
      <c r="R17" s="13"/>
      <c r="S17" s="13"/>
      <c r="T17" s="13"/>
      <c r="U17" s="13"/>
      <c r="V17" s="13"/>
      <c r="W17" s="13"/>
      <c r="X17" s="13"/>
    </row>
    <row r="18" spans="1:24" ht="14.5">
      <c r="A18" s="13"/>
      <c r="F18" s="13"/>
      <c r="G18" s="13"/>
      <c r="H18" s="13"/>
      <c r="I18" s="13"/>
      <c r="J18" s="13"/>
      <c r="K18" s="13"/>
      <c r="L18" s="13"/>
      <c r="M18" s="13"/>
      <c r="N18" s="13"/>
      <c r="O18" s="13"/>
      <c r="P18" s="13"/>
      <c r="Q18" s="13"/>
      <c r="R18" s="13"/>
      <c r="S18" s="13"/>
      <c r="T18" s="13"/>
      <c r="U18" s="13"/>
      <c r="V18" s="13"/>
      <c r="W18" s="13"/>
      <c r="X18" s="13"/>
    </row>
    <row r="19" spans="1:24" ht="14.5">
      <c r="A19" s="13"/>
      <c r="F19" s="13"/>
      <c r="G19" s="13"/>
      <c r="H19" s="13"/>
      <c r="I19" s="13"/>
      <c r="J19" s="13"/>
      <c r="K19" s="13"/>
      <c r="L19" s="13"/>
      <c r="M19" s="13"/>
      <c r="N19" s="13"/>
      <c r="O19" s="13"/>
      <c r="P19" s="13"/>
      <c r="Q19" s="13"/>
      <c r="R19" s="13"/>
      <c r="S19" s="13"/>
      <c r="T19" s="13"/>
      <c r="U19" s="13"/>
      <c r="V19" s="13"/>
      <c r="W19" s="13"/>
      <c r="X19" s="13"/>
    </row>
    <row r="20" spans="1:24" ht="14.5">
      <c r="A20" s="13"/>
      <c r="F20" s="13"/>
      <c r="G20" s="13"/>
      <c r="H20" s="13"/>
      <c r="I20" s="13"/>
      <c r="J20" s="13"/>
      <c r="K20" s="13"/>
      <c r="L20" s="13"/>
      <c r="M20" s="13"/>
      <c r="N20" s="13"/>
      <c r="O20" s="13"/>
      <c r="P20" s="13"/>
      <c r="Q20" s="13"/>
      <c r="R20" s="13"/>
      <c r="S20" s="13"/>
      <c r="T20" s="13"/>
      <c r="U20" s="13"/>
      <c r="V20" s="13"/>
      <c r="W20" s="13"/>
      <c r="X20" s="13"/>
    </row>
    <row r="21" spans="1:24" ht="15.75" customHeight="1">
      <c r="A21" s="13"/>
      <c r="F21" s="13"/>
      <c r="G21" s="13"/>
      <c r="H21" s="13"/>
      <c r="I21" s="13"/>
      <c r="J21" s="13"/>
      <c r="K21" s="13"/>
      <c r="L21" s="13"/>
      <c r="M21" s="13"/>
      <c r="N21" s="13"/>
      <c r="O21" s="13"/>
      <c r="P21" s="13"/>
      <c r="Q21" s="13"/>
      <c r="R21" s="13"/>
      <c r="S21" s="13"/>
      <c r="T21" s="13"/>
      <c r="U21" s="13"/>
      <c r="V21" s="13"/>
      <c r="W21" s="13"/>
      <c r="X21" s="13"/>
    </row>
    <row r="22" spans="1:24" ht="15.75" customHeight="1">
      <c r="A22" s="13"/>
      <c r="F22" s="13"/>
      <c r="G22" s="13"/>
      <c r="H22" s="13"/>
      <c r="I22" s="13"/>
      <c r="J22" s="13"/>
      <c r="K22" s="13"/>
      <c r="L22" s="13"/>
      <c r="M22" s="13"/>
      <c r="N22" s="13"/>
      <c r="O22" s="13"/>
      <c r="P22" s="13"/>
      <c r="Q22" s="13"/>
      <c r="R22" s="13"/>
      <c r="S22" s="13"/>
      <c r="T22" s="13"/>
      <c r="U22" s="13"/>
      <c r="V22" s="13"/>
      <c r="W22" s="13"/>
      <c r="X22" s="13"/>
    </row>
    <row r="23" spans="1:24" ht="15.75" customHeight="1">
      <c r="A23" s="13"/>
      <c r="F23" s="13"/>
      <c r="G23" s="13"/>
      <c r="H23" s="13"/>
      <c r="I23" s="13"/>
      <c r="J23" s="13"/>
      <c r="K23" s="13"/>
      <c r="L23" s="13"/>
      <c r="M23" s="13"/>
      <c r="N23" s="13"/>
      <c r="O23" s="13"/>
      <c r="P23" s="13"/>
      <c r="Q23" s="13"/>
      <c r="R23" s="13"/>
      <c r="S23" s="13"/>
      <c r="T23" s="13"/>
      <c r="U23" s="13"/>
      <c r="V23" s="13"/>
      <c r="W23" s="13"/>
      <c r="X23" s="13"/>
    </row>
    <row r="24" spans="1:24" ht="15.75" customHeight="1">
      <c r="A24" s="13"/>
      <c r="F24" s="13"/>
      <c r="G24" s="13"/>
      <c r="H24" s="13"/>
      <c r="I24" s="13"/>
      <c r="J24" s="13"/>
      <c r="K24" s="13"/>
      <c r="L24" s="13"/>
      <c r="M24" s="13"/>
      <c r="N24" s="13"/>
      <c r="O24" s="13"/>
      <c r="P24" s="13"/>
      <c r="Q24" s="16"/>
      <c r="R24" s="13"/>
      <c r="S24" s="13"/>
      <c r="T24" s="13"/>
      <c r="U24" s="13"/>
      <c r="V24" s="13"/>
      <c r="W24" s="13"/>
      <c r="X24" s="13"/>
    </row>
    <row r="25" spans="1:24" ht="15.75" customHeight="1">
      <c r="A25" s="13"/>
      <c r="F25" s="13"/>
      <c r="G25" s="13"/>
      <c r="H25" s="13"/>
      <c r="I25" s="13"/>
      <c r="J25" s="13"/>
      <c r="K25" s="13"/>
      <c r="L25" s="13"/>
      <c r="M25" s="13"/>
      <c r="N25" s="13"/>
      <c r="O25" s="13"/>
      <c r="P25" s="13"/>
      <c r="Q25" s="13"/>
      <c r="R25" s="13"/>
      <c r="S25" s="13"/>
      <c r="T25" s="13"/>
      <c r="U25" s="13"/>
      <c r="V25" s="13"/>
      <c r="W25" s="13"/>
      <c r="X25" s="13"/>
    </row>
    <row r="26" spans="1:24" ht="15.75" customHeight="1">
      <c r="A26" s="13"/>
      <c r="F26" s="13"/>
      <c r="G26" s="13"/>
      <c r="H26" s="13"/>
      <c r="I26" s="13"/>
      <c r="J26" s="13"/>
      <c r="K26" s="13"/>
      <c r="L26" s="13"/>
      <c r="M26" s="13"/>
      <c r="N26" s="13"/>
      <c r="O26" s="13"/>
      <c r="P26" s="13"/>
      <c r="Q26" s="16"/>
      <c r="R26" s="13"/>
      <c r="S26" s="13"/>
      <c r="T26" s="13"/>
      <c r="U26" s="13"/>
      <c r="V26" s="13"/>
      <c r="W26" s="13"/>
      <c r="X26" s="13"/>
    </row>
    <row r="27" spans="1:24" ht="15.75" customHeight="1">
      <c r="A27" s="13"/>
      <c r="E27" s="13"/>
      <c r="F27" s="13"/>
      <c r="G27" s="13"/>
      <c r="H27" s="13"/>
      <c r="I27" s="13"/>
      <c r="J27" s="13"/>
      <c r="K27" s="13"/>
      <c r="L27" s="13"/>
      <c r="M27" s="13"/>
      <c r="N27" s="13"/>
      <c r="O27" s="13"/>
      <c r="P27" s="13"/>
      <c r="Q27" s="24"/>
      <c r="R27" s="13"/>
      <c r="S27" s="13"/>
      <c r="T27" s="13"/>
      <c r="U27" s="13"/>
      <c r="V27" s="13"/>
      <c r="W27" s="13"/>
      <c r="X27" s="13"/>
    </row>
    <row r="28" spans="1:24" ht="15.75" customHeight="1">
      <c r="A28" s="13"/>
      <c r="E28" s="13"/>
      <c r="F28" s="13"/>
      <c r="G28" s="13"/>
      <c r="H28" s="13"/>
      <c r="I28" s="13"/>
      <c r="J28" s="13"/>
      <c r="K28" s="13"/>
      <c r="L28" s="13"/>
      <c r="M28" s="13"/>
      <c r="N28" s="13"/>
      <c r="O28" s="13"/>
      <c r="P28" s="13"/>
      <c r="Q28" s="13"/>
      <c r="R28" s="13"/>
      <c r="S28" s="13"/>
      <c r="T28" s="13"/>
      <c r="U28" s="13"/>
      <c r="V28" s="13"/>
      <c r="W28" s="13"/>
      <c r="X28" s="13"/>
    </row>
    <row r="29" spans="1:24" ht="15.75" customHeight="1">
      <c r="A29" s="13"/>
      <c r="E29" s="13"/>
      <c r="F29" s="13"/>
      <c r="G29" s="13"/>
      <c r="H29" s="13"/>
      <c r="I29" s="13"/>
      <c r="J29" s="13"/>
      <c r="K29" s="13"/>
      <c r="L29" s="13"/>
      <c r="M29" s="13"/>
      <c r="N29" s="13"/>
      <c r="O29" s="13"/>
      <c r="P29" s="13"/>
      <c r="Q29" s="13"/>
      <c r="R29" s="13"/>
      <c r="S29" s="13"/>
      <c r="T29" s="13"/>
      <c r="U29" s="13"/>
      <c r="V29" s="13"/>
      <c r="W29" s="13"/>
      <c r="X29" s="13"/>
    </row>
    <row r="30" spans="1:24" ht="15.75" customHeight="1">
      <c r="A30" s="13"/>
      <c r="E30" s="13"/>
      <c r="F30" s="13"/>
      <c r="G30" s="13"/>
      <c r="H30" s="13"/>
      <c r="I30" s="13"/>
      <c r="J30" s="13"/>
      <c r="K30" s="13"/>
      <c r="L30" s="13"/>
      <c r="M30" s="13"/>
      <c r="N30" s="13"/>
      <c r="O30" s="13"/>
      <c r="P30" s="13"/>
      <c r="Q30" s="13"/>
      <c r="R30" s="13"/>
      <c r="S30" s="13"/>
      <c r="T30" s="13"/>
      <c r="U30" s="13"/>
      <c r="V30" s="13"/>
      <c r="W30" s="13"/>
      <c r="X30" s="13"/>
    </row>
    <row r="31" spans="1:24" ht="15.75" customHeight="1">
      <c r="A31" s="13"/>
      <c r="E31" s="13"/>
      <c r="F31" s="13"/>
      <c r="G31" s="13"/>
      <c r="H31" s="13"/>
      <c r="I31" s="13"/>
      <c r="J31" s="13"/>
      <c r="K31" s="13"/>
      <c r="L31" s="13"/>
      <c r="M31" s="13"/>
      <c r="N31" s="13"/>
      <c r="O31" s="13"/>
      <c r="P31" s="13"/>
      <c r="Q31" s="13"/>
      <c r="R31" s="13"/>
      <c r="S31" s="13"/>
      <c r="T31" s="13"/>
      <c r="U31" s="13"/>
      <c r="V31" s="13"/>
      <c r="W31" s="13"/>
      <c r="X31" s="13"/>
    </row>
    <row r="32" spans="1:24" ht="15.75" customHeight="1">
      <c r="A32" s="13"/>
      <c r="E32" s="13"/>
      <c r="F32" s="13"/>
      <c r="G32" s="13"/>
      <c r="H32" s="13"/>
      <c r="I32" s="13"/>
      <c r="J32" s="13"/>
      <c r="K32" s="13"/>
      <c r="L32" s="13"/>
      <c r="M32" s="13"/>
      <c r="N32" s="13"/>
      <c r="O32" s="13"/>
      <c r="P32" s="13"/>
      <c r="Q32" s="13"/>
      <c r="R32" s="13"/>
      <c r="S32" s="13"/>
      <c r="T32" s="13"/>
      <c r="U32" s="13"/>
      <c r="V32" s="13"/>
      <c r="W32" s="13"/>
      <c r="X32" s="13"/>
    </row>
    <row r="33" spans="1:24" ht="15.75" customHeight="1">
      <c r="A33" s="13"/>
      <c r="E33" s="13"/>
      <c r="F33" s="13"/>
      <c r="G33" s="13"/>
      <c r="H33" s="13"/>
      <c r="I33" s="13"/>
      <c r="J33" s="13"/>
      <c r="K33" s="13"/>
      <c r="L33" s="13"/>
      <c r="M33" s="13"/>
      <c r="N33" s="13"/>
      <c r="O33" s="13"/>
      <c r="P33" s="13"/>
      <c r="Q33" s="13"/>
      <c r="R33" s="13"/>
      <c r="S33" s="13"/>
      <c r="T33" s="13"/>
      <c r="U33" s="13"/>
      <c r="V33" s="13"/>
      <c r="W33" s="13"/>
      <c r="X33" s="13"/>
    </row>
    <row r="34" spans="1:24" ht="15.75" customHeight="1">
      <c r="A34" s="13"/>
      <c r="E34" s="13"/>
      <c r="F34" s="13"/>
      <c r="G34" s="13"/>
      <c r="H34" s="13"/>
      <c r="I34" s="13"/>
      <c r="J34" s="13"/>
      <c r="K34" s="13"/>
      <c r="L34" s="13"/>
      <c r="M34" s="13"/>
      <c r="N34" s="13"/>
      <c r="O34" s="13"/>
      <c r="P34" s="13"/>
      <c r="Q34" s="13"/>
      <c r="R34" s="13"/>
      <c r="S34" s="13"/>
      <c r="T34" s="13"/>
      <c r="U34" s="13"/>
      <c r="V34" s="13"/>
      <c r="W34" s="13"/>
      <c r="X34" s="13"/>
    </row>
    <row r="35" spans="1:24" ht="15.75" customHeight="1">
      <c r="A35" s="13"/>
      <c r="E35" s="13"/>
      <c r="F35" s="13"/>
      <c r="G35" s="13"/>
      <c r="H35" s="13"/>
      <c r="I35" s="13"/>
      <c r="J35" s="13"/>
      <c r="K35" s="13"/>
      <c r="L35" s="13"/>
      <c r="M35" s="13"/>
      <c r="N35" s="13"/>
      <c r="O35" s="13"/>
      <c r="P35" s="13"/>
      <c r="Q35" s="13"/>
      <c r="R35" s="13"/>
      <c r="S35" s="13"/>
      <c r="T35" s="13"/>
      <c r="U35" s="13"/>
      <c r="V35" s="13"/>
      <c r="W35" s="13"/>
      <c r="X35" s="13"/>
    </row>
    <row r="36" spans="1:24" ht="15.75" customHeight="1">
      <c r="A36" s="13"/>
      <c r="E36" s="13"/>
      <c r="F36" s="13"/>
      <c r="G36" s="13"/>
      <c r="H36" s="13"/>
      <c r="I36" s="13"/>
      <c r="J36" s="13"/>
      <c r="K36" s="13"/>
      <c r="L36" s="13"/>
      <c r="M36" s="13"/>
      <c r="N36" s="13"/>
      <c r="O36" s="13"/>
      <c r="P36" s="13"/>
      <c r="Q36" s="13"/>
      <c r="R36" s="13"/>
      <c r="S36" s="13"/>
      <c r="T36" s="13"/>
      <c r="U36" s="13"/>
      <c r="V36" s="13"/>
      <c r="W36" s="13"/>
      <c r="X36" s="13"/>
    </row>
    <row r="37" spans="1:24" ht="15.75" customHeight="1">
      <c r="A37" s="13"/>
      <c r="E37" s="13"/>
      <c r="F37" s="13"/>
      <c r="G37" s="13"/>
      <c r="H37" s="13"/>
      <c r="I37" s="13"/>
      <c r="J37" s="13"/>
      <c r="K37" s="13"/>
      <c r="L37" s="13"/>
      <c r="M37" s="13"/>
      <c r="N37" s="13"/>
      <c r="O37" s="13"/>
      <c r="P37" s="13"/>
      <c r="Q37" s="13"/>
      <c r="R37" s="13"/>
      <c r="S37" s="13"/>
      <c r="T37" s="13"/>
      <c r="U37" s="13"/>
      <c r="V37" s="13"/>
      <c r="W37" s="13"/>
      <c r="X37" s="13"/>
    </row>
    <row r="38" spans="1:24" ht="15.75" customHeight="1">
      <c r="A38" s="13"/>
      <c r="E38" s="13"/>
      <c r="F38" s="13"/>
      <c r="G38" s="13"/>
      <c r="H38" s="13"/>
      <c r="I38" s="13"/>
      <c r="J38" s="13"/>
      <c r="K38" s="13"/>
      <c r="L38" s="13"/>
      <c r="M38" s="13"/>
      <c r="N38" s="13"/>
      <c r="O38" s="13"/>
      <c r="P38" s="13"/>
      <c r="Q38" s="13"/>
      <c r="R38" s="13"/>
      <c r="S38" s="13"/>
      <c r="T38" s="13"/>
      <c r="U38" s="13"/>
      <c r="V38" s="13"/>
      <c r="W38" s="13"/>
      <c r="X38" s="13"/>
    </row>
    <row r="39" spans="1:24" ht="15.75" customHeight="1">
      <c r="A39" s="13"/>
      <c r="E39" s="13"/>
      <c r="F39" s="13"/>
      <c r="G39" s="13"/>
      <c r="H39" s="13"/>
      <c r="I39" s="13"/>
      <c r="J39" s="13"/>
      <c r="K39" s="13"/>
      <c r="L39" s="24"/>
      <c r="M39" s="13"/>
      <c r="N39" s="13"/>
      <c r="O39" s="13"/>
      <c r="P39" s="13"/>
      <c r="Q39" s="13"/>
      <c r="R39" s="13"/>
      <c r="S39" s="13"/>
      <c r="T39" s="13"/>
      <c r="U39" s="13"/>
      <c r="V39" s="13"/>
      <c r="W39" s="13"/>
      <c r="X39" s="13"/>
    </row>
    <row r="40" spans="1:24" ht="15.75" customHeight="1">
      <c r="A40" s="13"/>
      <c r="E40" s="13"/>
      <c r="F40" s="13"/>
      <c r="G40" s="13"/>
      <c r="H40" s="13"/>
      <c r="I40" s="13"/>
      <c r="J40" s="13"/>
      <c r="K40" s="13"/>
      <c r="L40" s="24"/>
      <c r="M40" s="13"/>
      <c r="N40" s="13"/>
      <c r="O40" s="13"/>
      <c r="P40" s="13"/>
      <c r="Q40" s="13"/>
      <c r="R40" s="13"/>
      <c r="S40" s="13"/>
      <c r="T40" s="13"/>
      <c r="U40" s="13"/>
      <c r="V40" s="13"/>
      <c r="W40" s="13"/>
      <c r="X40" s="13"/>
    </row>
    <row r="41" spans="1:24" ht="15.75" customHeight="1">
      <c r="A41" s="13"/>
      <c r="E41" s="13"/>
      <c r="F41" s="13"/>
      <c r="G41" s="13"/>
      <c r="H41" s="13"/>
      <c r="I41" s="13"/>
      <c r="J41" s="13"/>
      <c r="K41" s="13"/>
      <c r="L41" s="24"/>
      <c r="M41" s="13"/>
      <c r="N41" s="13"/>
      <c r="O41" s="13"/>
      <c r="P41" s="13"/>
      <c r="Q41" s="13"/>
      <c r="R41" s="13"/>
      <c r="S41" s="13"/>
      <c r="T41" s="13"/>
      <c r="U41" s="13"/>
      <c r="V41" s="13"/>
      <c r="W41" s="13"/>
      <c r="X41" s="13"/>
    </row>
    <row r="42" spans="1:24" ht="15.75" customHeight="1">
      <c r="A42" s="13"/>
      <c r="E42" s="13"/>
      <c r="F42" s="13"/>
      <c r="G42" s="13"/>
      <c r="H42" s="13"/>
      <c r="I42" s="13"/>
      <c r="J42" s="13"/>
      <c r="K42" s="13"/>
      <c r="L42" s="24"/>
      <c r="M42" s="21"/>
      <c r="N42" s="13"/>
      <c r="O42" s="13"/>
      <c r="P42" s="13"/>
      <c r="Q42" s="13"/>
      <c r="R42" s="13"/>
      <c r="S42" s="13"/>
      <c r="T42" s="13"/>
      <c r="U42" s="13"/>
      <c r="V42" s="13"/>
      <c r="W42" s="13"/>
      <c r="X42" s="13"/>
    </row>
    <row r="43" spans="1:24" ht="15.75" customHeight="1">
      <c r="A43" s="13"/>
      <c r="E43" s="13"/>
      <c r="F43" s="13"/>
      <c r="G43" s="13"/>
      <c r="H43" s="13"/>
      <c r="I43" s="13"/>
      <c r="J43" s="13"/>
      <c r="K43" s="13"/>
      <c r="L43" s="13"/>
      <c r="M43" s="13"/>
      <c r="N43" s="13"/>
      <c r="O43" s="13"/>
      <c r="P43" s="13"/>
      <c r="Q43" s="13"/>
      <c r="R43" s="13"/>
      <c r="S43" s="13"/>
      <c r="T43" s="13"/>
      <c r="U43" s="13"/>
      <c r="V43" s="13"/>
      <c r="W43" s="13"/>
      <c r="X43" s="13"/>
    </row>
    <row r="44" spans="1:24" ht="15.75" customHeight="1">
      <c r="A44" s="13"/>
      <c r="E44" s="13"/>
      <c r="F44" s="13"/>
      <c r="G44" s="13"/>
      <c r="H44" s="13"/>
      <c r="I44" s="13"/>
      <c r="J44" s="13"/>
      <c r="K44" s="13"/>
      <c r="L44" s="13"/>
      <c r="M44" s="13"/>
      <c r="N44" s="13"/>
      <c r="O44" s="13"/>
      <c r="P44" s="13"/>
      <c r="Q44" s="13"/>
      <c r="R44" s="13"/>
      <c r="S44" s="13"/>
      <c r="T44" s="13"/>
      <c r="U44" s="13"/>
      <c r="V44" s="13"/>
      <c r="W44" s="13"/>
      <c r="X44" s="13"/>
    </row>
    <row r="45" spans="1:24" ht="15.75" customHeight="1">
      <c r="A45" s="13"/>
      <c r="E45" s="13"/>
      <c r="F45" s="13"/>
      <c r="G45" s="13"/>
      <c r="H45" s="13"/>
      <c r="I45" s="13"/>
      <c r="J45" s="13"/>
      <c r="K45" s="13"/>
      <c r="L45" s="13"/>
      <c r="M45" s="13"/>
      <c r="N45" s="13"/>
      <c r="O45" s="13"/>
      <c r="P45" s="13"/>
      <c r="Q45" s="13"/>
      <c r="R45" s="13"/>
      <c r="S45" s="13"/>
      <c r="T45" s="13"/>
      <c r="U45" s="13"/>
      <c r="V45" s="13"/>
      <c r="W45" s="13"/>
      <c r="X45" s="13"/>
    </row>
    <row r="46" spans="1:24" ht="15.75" customHeight="1">
      <c r="A46" s="13"/>
      <c r="E46" s="13"/>
      <c r="F46" s="13"/>
      <c r="G46" s="13"/>
      <c r="H46" s="13"/>
      <c r="I46" s="13"/>
      <c r="J46" s="13"/>
      <c r="K46" s="13"/>
      <c r="L46" s="13"/>
      <c r="M46" s="13"/>
      <c r="N46" s="13"/>
      <c r="O46" s="13"/>
      <c r="P46" s="13"/>
      <c r="Q46" s="13"/>
      <c r="R46" s="13"/>
      <c r="S46" s="13"/>
      <c r="T46" s="13"/>
      <c r="U46" s="13"/>
      <c r="V46" s="13"/>
      <c r="W46" s="13"/>
      <c r="X46" s="13"/>
    </row>
    <row r="47" spans="1:24" ht="15.75" customHeight="1">
      <c r="A47" s="13"/>
      <c r="E47" s="13"/>
      <c r="F47" s="13"/>
      <c r="G47" s="13"/>
      <c r="H47" s="13"/>
      <c r="I47" s="13"/>
      <c r="J47" s="13"/>
      <c r="K47" s="13"/>
      <c r="L47" s="13"/>
      <c r="M47" s="13"/>
      <c r="N47" s="13"/>
      <c r="O47" s="13"/>
      <c r="P47" s="13"/>
      <c r="Q47" s="13"/>
      <c r="R47" s="13"/>
      <c r="S47" s="13"/>
      <c r="T47" s="13"/>
      <c r="U47" s="13"/>
      <c r="V47" s="13"/>
      <c r="W47" s="13"/>
      <c r="X47" s="13"/>
    </row>
    <row r="48" spans="1:24" ht="15.75" customHeight="1">
      <c r="A48" s="13"/>
      <c r="E48" s="13"/>
      <c r="F48" s="13"/>
      <c r="G48" s="13"/>
      <c r="H48" s="13"/>
      <c r="I48" s="13"/>
      <c r="J48" s="13"/>
      <c r="K48" s="13"/>
      <c r="L48" s="13"/>
      <c r="M48" s="13"/>
      <c r="N48" s="13"/>
      <c r="O48" s="13"/>
      <c r="P48" s="13"/>
      <c r="Q48" s="13"/>
      <c r="R48" s="13"/>
      <c r="S48" s="13"/>
      <c r="T48" s="13"/>
      <c r="U48" s="13"/>
      <c r="V48" s="13"/>
      <c r="W48" s="13"/>
      <c r="X48" s="13"/>
    </row>
    <row r="49" spans="1:24" ht="15.75" customHeight="1">
      <c r="A49" s="13"/>
      <c r="E49" s="13"/>
      <c r="F49" s="13"/>
      <c r="G49" s="13"/>
      <c r="H49" s="13"/>
      <c r="I49" s="13"/>
      <c r="J49" s="13"/>
      <c r="K49" s="13"/>
      <c r="L49" s="13"/>
      <c r="M49" s="13"/>
      <c r="N49" s="13"/>
      <c r="O49" s="13"/>
      <c r="P49" s="13"/>
      <c r="Q49" s="13"/>
      <c r="R49" s="13"/>
      <c r="S49" s="13"/>
      <c r="T49" s="13"/>
      <c r="U49" s="13"/>
      <c r="V49" s="13"/>
      <c r="W49" s="13"/>
      <c r="X49" s="13"/>
    </row>
    <row r="50" spans="1:24" ht="15.75" customHeight="1">
      <c r="A50" s="13"/>
      <c r="E50" s="13"/>
      <c r="F50" s="13"/>
      <c r="G50" s="13"/>
      <c r="H50" s="13"/>
      <c r="I50" s="13"/>
      <c r="J50" s="13"/>
      <c r="K50" s="13"/>
      <c r="L50" s="13"/>
      <c r="M50" s="13"/>
      <c r="N50" s="13"/>
      <c r="O50" s="13"/>
      <c r="P50" s="13"/>
      <c r="Q50" s="13"/>
      <c r="R50" s="13"/>
      <c r="S50" s="13"/>
      <c r="T50" s="13"/>
      <c r="U50" s="13"/>
      <c r="V50" s="13"/>
      <c r="W50" s="13"/>
      <c r="X50" s="13"/>
    </row>
    <row r="51" spans="1:24" ht="15.75" customHeight="1">
      <c r="A51" s="13"/>
      <c r="E51" s="13"/>
      <c r="F51" s="13"/>
      <c r="G51" s="13"/>
      <c r="H51" s="13"/>
      <c r="I51" s="13"/>
      <c r="J51" s="13"/>
      <c r="K51" s="13"/>
      <c r="L51" s="13"/>
      <c r="M51" s="13"/>
      <c r="N51" s="13"/>
      <c r="O51" s="13"/>
      <c r="P51" s="13"/>
      <c r="Q51" s="13"/>
      <c r="R51" s="13"/>
      <c r="S51" s="13"/>
      <c r="T51" s="13"/>
      <c r="U51" s="13"/>
      <c r="V51" s="13"/>
      <c r="W51" s="13"/>
      <c r="X51" s="13"/>
    </row>
    <row r="52" spans="1:24" ht="15.75" customHeight="1">
      <c r="A52" s="13"/>
      <c r="E52" s="13"/>
      <c r="F52" s="13"/>
      <c r="G52" s="13"/>
      <c r="H52" s="13"/>
      <c r="I52" s="13"/>
      <c r="J52" s="13"/>
      <c r="K52" s="13"/>
      <c r="L52" s="13"/>
      <c r="M52" s="13"/>
      <c r="N52" s="13"/>
      <c r="O52" s="13"/>
      <c r="P52" s="13"/>
      <c r="Q52" s="13"/>
      <c r="R52" s="13"/>
      <c r="S52" s="13"/>
      <c r="T52" s="13"/>
      <c r="U52" s="13"/>
      <c r="V52" s="13"/>
      <c r="W52" s="13"/>
      <c r="X52" s="13"/>
    </row>
    <row r="53" spans="1:24" ht="15.75" customHeight="1">
      <c r="A53" s="13"/>
      <c r="E53" s="13"/>
      <c r="F53" s="13"/>
      <c r="G53" s="13"/>
      <c r="H53" s="13"/>
      <c r="I53" s="13"/>
      <c r="J53" s="13"/>
      <c r="K53" s="13"/>
      <c r="L53" s="13"/>
      <c r="M53" s="13"/>
      <c r="N53" s="13"/>
      <c r="O53" s="13"/>
      <c r="P53" s="13"/>
      <c r="Q53" s="13"/>
      <c r="R53" s="13"/>
      <c r="S53" s="13"/>
      <c r="T53" s="13"/>
      <c r="U53" s="13"/>
      <c r="V53" s="13"/>
      <c r="W53" s="13"/>
      <c r="X53" s="13"/>
    </row>
    <row r="54" spans="1:24" ht="15.75" customHeight="1">
      <c r="A54" s="13"/>
      <c r="E54" s="13"/>
      <c r="F54" s="13"/>
      <c r="G54" s="13"/>
      <c r="H54" s="13"/>
      <c r="I54" s="13"/>
      <c r="J54" s="13"/>
      <c r="K54" s="13"/>
      <c r="L54" s="13"/>
      <c r="M54" s="13"/>
      <c r="N54" s="13"/>
      <c r="O54" s="13"/>
      <c r="P54" s="13"/>
      <c r="Q54" s="13"/>
      <c r="R54" s="13"/>
      <c r="S54" s="13"/>
      <c r="T54" s="13"/>
      <c r="U54" s="13"/>
      <c r="V54" s="13"/>
      <c r="W54" s="13"/>
      <c r="X54" s="13"/>
    </row>
    <row r="55" spans="1:24" ht="15.75" customHeight="1">
      <c r="A55" s="13"/>
      <c r="E55" s="13"/>
      <c r="F55" s="13"/>
      <c r="G55" s="13"/>
      <c r="H55" s="13"/>
      <c r="I55" s="13"/>
      <c r="J55" s="13"/>
      <c r="K55" s="13"/>
      <c r="L55" s="13"/>
      <c r="M55" s="13"/>
      <c r="N55" s="13"/>
      <c r="O55" s="13"/>
      <c r="P55" s="13"/>
      <c r="Q55" s="13"/>
      <c r="R55" s="13"/>
      <c r="S55" s="13"/>
      <c r="T55" s="13"/>
      <c r="U55" s="13"/>
      <c r="V55" s="13"/>
      <c r="W55" s="13"/>
      <c r="X55" s="13"/>
    </row>
    <row r="56" spans="1:24" ht="15.75" customHeight="1">
      <c r="A56" s="13"/>
      <c r="E56" s="13"/>
      <c r="F56" s="13"/>
      <c r="G56" s="13"/>
      <c r="H56" s="13"/>
      <c r="I56" s="13"/>
      <c r="J56" s="13"/>
      <c r="K56" s="13"/>
      <c r="L56" s="13"/>
      <c r="M56" s="13"/>
      <c r="N56" s="13"/>
      <c r="O56" s="13"/>
      <c r="P56" s="13"/>
      <c r="Q56" s="13"/>
      <c r="R56" s="13"/>
      <c r="S56" s="13"/>
      <c r="T56" s="13"/>
      <c r="U56" s="13"/>
      <c r="V56" s="13"/>
      <c r="W56" s="13"/>
      <c r="X56" s="13"/>
    </row>
    <row r="57" spans="1:24" ht="15.75" customHeight="1">
      <c r="A57" s="13"/>
      <c r="E57" s="13"/>
      <c r="F57" s="13"/>
      <c r="G57" s="13"/>
      <c r="H57" s="13"/>
      <c r="I57" s="13"/>
      <c r="J57" s="13"/>
      <c r="K57" s="13"/>
      <c r="L57" s="13"/>
      <c r="M57" s="13"/>
      <c r="N57" s="13"/>
      <c r="O57" s="13"/>
      <c r="P57" s="13"/>
      <c r="Q57" s="13"/>
      <c r="R57" s="13"/>
      <c r="S57" s="13"/>
      <c r="T57" s="13"/>
      <c r="U57" s="13"/>
      <c r="V57" s="13"/>
      <c r="W57" s="13"/>
      <c r="X57" s="13"/>
    </row>
    <row r="58" spans="1:24" ht="15.75" customHeight="1">
      <c r="A58" s="13"/>
      <c r="E58" s="13"/>
      <c r="F58" s="13"/>
      <c r="G58" s="13"/>
      <c r="H58" s="13"/>
      <c r="I58" s="13"/>
      <c r="J58" s="13"/>
      <c r="K58" s="13"/>
      <c r="L58" s="13"/>
      <c r="M58" s="13"/>
      <c r="N58" s="13"/>
      <c r="O58" s="13"/>
      <c r="P58" s="13"/>
      <c r="Q58" s="13"/>
      <c r="R58" s="13"/>
      <c r="S58" s="13"/>
      <c r="T58" s="13"/>
      <c r="U58" s="13"/>
      <c r="V58" s="13"/>
      <c r="W58" s="13"/>
      <c r="X58" s="13"/>
    </row>
    <row r="59" spans="1:24" ht="15.75" customHeight="1">
      <c r="A59" s="13"/>
      <c r="E59" s="13"/>
      <c r="F59" s="13"/>
      <c r="G59" s="13"/>
      <c r="H59" s="13"/>
      <c r="I59" s="13"/>
      <c r="J59" s="13"/>
      <c r="K59" s="13"/>
      <c r="L59" s="13"/>
      <c r="M59" s="13"/>
      <c r="N59" s="13"/>
      <c r="O59" s="13"/>
      <c r="P59" s="13"/>
      <c r="Q59" s="13"/>
      <c r="R59" s="13"/>
      <c r="S59" s="13"/>
      <c r="T59" s="13"/>
      <c r="U59" s="13"/>
      <c r="V59" s="13"/>
      <c r="W59" s="13"/>
      <c r="X59" s="13"/>
    </row>
    <row r="60" spans="1:24" ht="15.75" customHeight="1">
      <c r="A60" s="13"/>
      <c r="E60" s="13"/>
      <c r="F60" s="13"/>
      <c r="G60" s="13"/>
      <c r="H60" s="13"/>
      <c r="I60" s="13"/>
      <c r="J60" s="13"/>
      <c r="K60" s="13"/>
      <c r="L60" s="13"/>
      <c r="M60" s="13"/>
      <c r="N60" s="13"/>
      <c r="O60" s="13"/>
      <c r="P60" s="13"/>
      <c r="Q60" s="13"/>
      <c r="R60" s="13"/>
      <c r="S60" s="13"/>
      <c r="T60" s="13"/>
      <c r="U60" s="13"/>
      <c r="V60" s="13"/>
      <c r="W60" s="13"/>
      <c r="X60" s="13"/>
    </row>
    <row r="61" spans="1:24" ht="15.75" customHeight="1">
      <c r="A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P3"/>
  </mergeCells>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showGridLines="0" topLeftCell="A3" workbookViewId="0">
      <selection activeCell="H19" sqref="H19"/>
    </sheetView>
  </sheetViews>
  <sheetFormatPr defaultColWidth="14.453125" defaultRowHeight="15" customHeight="1"/>
  <cols>
    <col min="1" max="1" width="3" customWidth="1"/>
    <col min="2" max="2" width="12.36328125" bestFit="1" customWidth="1"/>
    <col min="3" max="3" width="19.08984375" bestFit="1" customWidth="1"/>
    <col min="4" max="16" width="9.08984375" customWidth="1"/>
    <col min="17" max="24" width="10.6328125" hidden="1" customWidth="1"/>
    <col min="25" max="26" width="10.6328125" customWidth="1"/>
  </cols>
  <sheetData>
    <row r="1" spans="1:26" ht="54.75" customHeight="1">
      <c r="A1" s="1"/>
      <c r="B1" s="1"/>
      <c r="C1" s="1"/>
      <c r="D1" s="2"/>
      <c r="E1" s="1"/>
      <c r="F1" s="1"/>
      <c r="G1" s="1"/>
      <c r="H1" s="1"/>
      <c r="I1" s="1"/>
      <c r="J1" s="1"/>
      <c r="K1" s="1"/>
      <c r="L1" s="1"/>
      <c r="M1" s="13"/>
      <c r="N1" s="13"/>
      <c r="O1" s="13"/>
      <c r="P1" s="13"/>
      <c r="Q1" s="13"/>
      <c r="R1" s="13"/>
      <c r="S1" s="13"/>
      <c r="T1" s="13"/>
      <c r="U1" s="13"/>
      <c r="V1" s="13"/>
      <c r="W1" s="13"/>
      <c r="X1" s="13"/>
    </row>
    <row r="2" spans="1:26" ht="14.5">
      <c r="A2" s="3"/>
      <c r="B2" s="3"/>
      <c r="C2" s="3"/>
      <c r="D2" s="3"/>
      <c r="E2" s="3"/>
      <c r="F2" s="3"/>
      <c r="G2" s="3"/>
      <c r="H2" s="3"/>
      <c r="I2" s="3"/>
      <c r="J2" s="3"/>
      <c r="K2" s="3"/>
      <c r="L2" s="3"/>
      <c r="M2" s="3"/>
      <c r="N2" s="3"/>
      <c r="O2" s="3"/>
      <c r="P2" s="3"/>
      <c r="Q2" s="3"/>
      <c r="R2" s="3"/>
      <c r="S2" s="3"/>
      <c r="T2" s="3"/>
      <c r="U2" s="3"/>
      <c r="V2" s="3"/>
      <c r="W2" s="13"/>
      <c r="X2" s="13"/>
    </row>
    <row r="3" spans="1:26" ht="14.5">
      <c r="A3" s="13"/>
      <c r="B3" s="45" t="s">
        <v>212</v>
      </c>
      <c r="C3" s="38"/>
      <c r="D3" s="38"/>
      <c r="E3" s="38"/>
      <c r="F3" s="38"/>
      <c r="G3" s="38"/>
      <c r="H3" s="38"/>
      <c r="I3" s="38"/>
      <c r="J3" s="38"/>
      <c r="K3" s="38"/>
      <c r="L3" s="38"/>
      <c r="M3" s="38"/>
      <c r="N3" s="38"/>
      <c r="O3" s="38"/>
      <c r="P3" s="38"/>
      <c r="Q3" s="38"/>
      <c r="R3" s="38"/>
      <c r="S3" s="38"/>
      <c r="T3" s="38"/>
      <c r="U3" s="38"/>
      <c r="V3" s="38"/>
      <c r="W3" s="38"/>
      <c r="X3" s="38"/>
      <c r="Y3" s="20"/>
      <c r="Z3" s="20"/>
    </row>
    <row r="4" spans="1:26" ht="14.5">
      <c r="A4" s="13"/>
      <c r="B4" s="45" t="s">
        <v>213</v>
      </c>
      <c r="C4" s="38"/>
      <c r="D4" s="38"/>
      <c r="E4" s="38"/>
      <c r="F4" s="38"/>
      <c r="G4" s="38"/>
      <c r="H4" s="38"/>
      <c r="I4" s="38"/>
      <c r="J4" s="38"/>
      <c r="K4" s="38"/>
      <c r="L4" s="38"/>
      <c r="M4" s="38"/>
      <c r="N4" s="38"/>
      <c r="O4" s="38"/>
      <c r="P4" s="38"/>
      <c r="Q4" s="13"/>
      <c r="R4" s="13"/>
      <c r="S4" s="13"/>
      <c r="T4" s="13"/>
      <c r="U4" s="13"/>
      <c r="V4" s="13"/>
      <c r="W4" s="13"/>
      <c r="X4" s="13"/>
    </row>
    <row r="5" spans="1:26" ht="14.5">
      <c r="A5" s="13"/>
      <c r="B5" s="13"/>
      <c r="C5" s="13"/>
      <c r="D5" s="13"/>
      <c r="E5" s="13"/>
      <c r="F5" s="13"/>
      <c r="G5" s="13"/>
      <c r="H5" s="13"/>
      <c r="I5" s="13"/>
      <c r="J5" s="13"/>
      <c r="K5" s="13"/>
      <c r="L5" s="13"/>
      <c r="M5" s="13"/>
      <c r="N5" s="13"/>
      <c r="O5" s="13"/>
      <c r="P5" s="13"/>
      <c r="Q5" s="13"/>
      <c r="R5" s="13"/>
      <c r="S5" s="13"/>
      <c r="T5" s="13"/>
      <c r="U5" s="13"/>
      <c r="V5" s="13"/>
      <c r="W5" s="13"/>
      <c r="X5" s="13"/>
    </row>
    <row r="6" spans="1:26" ht="14.5">
      <c r="A6" s="13"/>
      <c r="B6" s="13" t="s">
        <v>280</v>
      </c>
      <c r="D6" s="13"/>
      <c r="E6" s="13"/>
      <c r="F6" s="13"/>
      <c r="G6" s="13"/>
      <c r="H6" s="13"/>
      <c r="I6" s="13"/>
      <c r="J6" s="13"/>
      <c r="K6" s="13"/>
      <c r="L6" s="13"/>
      <c r="M6" s="13"/>
      <c r="N6" s="13"/>
      <c r="O6" s="13"/>
      <c r="P6" s="13"/>
      <c r="Q6" s="13"/>
      <c r="R6" s="13"/>
      <c r="S6" s="13"/>
      <c r="T6" s="13"/>
      <c r="U6" s="13"/>
      <c r="V6" s="13"/>
      <c r="W6" s="13"/>
      <c r="X6" s="13"/>
    </row>
    <row r="7" spans="1:26" ht="14.5">
      <c r="A7" s="13"/>
      <c r="B7" t="s">
        <v>281</v>
      </c>
      <c r="C7" s="13"/>
      <c r="D7" s="13"/>
      <c r="E7" s="13"/>
      <c r="F7" s="13"/>
      <c r="G7" s="13"/>
      <c r="H7" s="13"/>
      <c r="I7" s="13"/>
      <c r="J7" s="13"/>
      <c r="K7" s="13"/>
      <c r="L7" s="13"/>
      <c r="M7" s="13"/>
      <c r="N7" s="13"/>
      <c r="O7" s="13"/>
      <c r="P7" s="13"/>
      <c r="Q7" s="13"/>
      <c r="R7" s="13"/>
      <c r="S7" s="13"/>
      <c r="T7" s="13"/>
      <c r="U7" s="13"/>
      <c r="V7" s="13"/>
      <c r="W7" s="13"/>
      <c r="X7" s="13"/>
    </row>
    <row r="8" spans="1:26" ht="14.5">
      <c r="A8" s="13"/>
      <c r="B8" s="13"/>
      <c r="C8" s="13"/>
      <c r="D8" s="13"/>
      <c r="E8" s="13"/>
      <c r="F8" s="13"/>
      <c r="G8" s="13"/>
      <c r="H8" s="13"/>
      <c r="I8" s="13"/>
      <c r="J8" s="13"/>
      <c r="K8" s="13"/>
      <c r="L8" s="13"/>
      <c r="M8" s="13"/>
      <c r="N8" s="13"/>
      <c r="O8" s="13"/>
      <c r="P8" s="23"/>
      <c r="Q8" s="13"/>
      <c r="R8" s="13"/>
      <c r="S8" s="13"/>
      <c r="T8" s="13"/>
      <c r="U8" s="13"/>
      <c r="V8" s="13"/>
      <c r="W8" s="13"/>
      <c r="X8" s="13"/>
    </row>
    <row r="9" spans="1:26" ht="14.5">
      <c r="A9" s="13"/>
      <c r="B9" s="13"/>
      <c r="C9" s="13"/>
      <c r="D9" s="13"/>
      <c r="E9" s="13"/>
      <c r="F9" s="13"/>
      <c r="G9" s="13"/>
      <c r="H9" s="13"/>
      <c r="I9" s="13"/>
      <c r="J9" s="13"/>
      <c r="K9" s="13"/>
      <c r="L9" s="13"/>
      <c r="M9" s="13"/>
      <c r="N9" s="13"/>
      <c r="O9" s="13"/>
      <c r="P9" s="23"/>
      <c r="Q9" s="13"/>
      <c r="R9" s="13"/>
      <c r="S9" s="13"/>
      <c r="T9" s="13"/>
      <c r="U9" s="13"/>
      <c r="V9" s="13"/>
      <c r="W9" s="13"/>
      <c r="X9" s="13"/>
    </row>
    <row r="10" spans="1:26" ht="14.5">
      <c r="A10" s="13"/>
      <c r="B10" s="13" t="s">
        <v>282</v>
      </c>
      <c r="C10" s="13"/>
      <c r="D10" s="13"/>
      <c r="E10" s="13"/>
      <c r="F10" s="13"/>
      <c r="G10" s="13"/>
      <c r="H10" s="13"/>
      <c r="I10" s="13"/>
      <c r="J10" s="13"/>
      <c r="K10" s="13"/>
      <c r="L10" s="13"/>
      <c r="M10" s="13"/>
      <c r="N10" s="13"/>
      <c r="O10" s="13"/>
      <c r="P10" s="23"/>
      <c r="Q10" s="13"/>
      <c r="R10" s="13"/>
      <c r="S10" s="13"/>
      <c r="T10" s="13"/>
      <c r="U10" s="13"/>
      <c r="V10" s="13"/>
      <c r="W10" s="13"/>
      <c r="X10" s="13"/>
    </row>
    <row r="11" spans="1:26" ht="14.5">
      <c r="A11" s="13"/>
      <c r="B11" s="13"/>
      <c r="C11" s="13"/>
      <c r="D11" s="13"/>
      <c r="E11" s="13"/>
      <c r="F11" s="13"/>
      <c r="G11" s="13"/>
      <c r="H11" s="13"/>
      <c r="I11" s="13"/>
      <c r="J11" s="13"/>
      <c r="K11" s="13"/>
      <c r="L11" s="13"/>
      <c r="M11" s="13"/>
      <c r="N11" s="13"/>
      <c r="O11" s="13"/>
      <c r="P11" s="23"/>
      <c r="Q11" s="13"/>
      <c r="R11" s="13"/>
      <c r="S11" s="13"/>
      <c r="T11" s="13"/>
      <c r="U11" s="13"/>
      <c r="V11" s="13"/>
      <c r="W11" s="13"/>
      <c r="X11" s="13"/>
    </row>
    <row r="12" spans="1:26" ht="14.5">
      <c r="A12" s="13"/>
      <c r="B12" s="27" t="s">
        <v>218</v>
      </c>
      <c r="C12" t="s">
        <v>254</v>
      </c>
      <c r="D12" s="13"/>
      <c r="E12" s="36" t="s">
        <v>283</v>
      </c>
      <c r="F12" s="36" t="s">
        <v>284</v>
      </c>
      <c r="G12" s="13"/>
      <c r="H12" s="13"/>
      <c r="I12" s="13"/>
      <c r="J12" s="13"/>
      <c r="K12" s="13"/>
      <c r="L12" s="13"/>
      <c r="M12" s="13"/>
      <c r="N12" s="13"/>
      <c r="O12" s="13"/>
      <c r="P12" s="23"/>
      <c r="Q12" s="13"/>
      <c r="R12" s="13"/>
      <c r="S12" s="13"/>
      <c r="T12" s="13"/>
      <c r="U12" s="13"/>
      <c r="V12" s="13"/>
      <c r="W12" s="13"/>
      <c r="X12" s="13"/>
    </row>
    <row r="13" spans="1:26" ht="14.5">
      <c r="A13" s="13"/>
      <c r="B13" s="28" t="s">
        <v>238</v>
      </c>
      <c r="C13">
        <v>157</v>
      </c>
      <c r="D13" s="13"/>
      <c r="E13" s="28" t="s">
        <v>238</v>
      </c>
      <c r="F13">
        <v>157</v>
      </c>
      <c r="G13" s="13"/>
      <c r="H13" s="13"/>
      <c r="I13" s="13"/>
      <c r="J13" s="13"/>
      <c r="K13" s="13"/>
      <c r="L13" s="13"/>
      <c r="M13" s="13"/>
      <c r="N13" s="13"/>
      <c r="O13" s="13"/>
      <c r="P13" s="23"/>
      <c r="Q13" s="13"/>
      <c r="R13" s="13"/>
      <c r="S13" s="13"/>
      <c r="T13" s="13"/>
      <c r="U13" s="13"/>
      <c r="V13" s="13"/>
      <c r="W13" s="13"/>
      <c r="X13" s="13"/>
    </row>
    <row r="14" spans="1:26" ht="14.5">
      <c r="A14" s="13"/>
      <c r="B14" s="28" t="s">
        <v>242</v>
      </c>
      <c r="C14">
        <v>151</v>
      </c>
      <c r="D14" s="13"/>
      <c r="E14" s="28" t="s">
        <v>242</v>
      </c>
      <c r="F14">
        <v>151</v>
      </c>
      <c r="G14" s="13"/>
      <c r="H14" s="13"/>
      <c r="I14" s="13"/>
      <c r="J14" s="13"/>
      <c r="K14" s="13"/>
      <c r="L14" s="13"/>
      <c r="M14" s="13"/>
      <c r="N14" s="13"/>
      <c r="O14" s="13"/>
      <c r="P14" s="23"/>
      <c r="Q14" s="13"/>
      <c r="R14" s="13"/>
      <c r="S14" s="13"/>
      <c r="T14" s="13"/>
      <c r="U14" s="13"/>
      <c r="V14" s="13"/>
      <c r="W14" s="13"/>
      <c r="X14" s="13"/>
    </row>
    <row r="15" spans="1:26" ht="14.5">
      <c r="A15" s="13"/>
      <c r="B15" s="28" t="s">
        <v>237</v>
      </c>
      <c r="C15">
        <v>149</v>
      </c>
      <c r="D15" s="13"/>
      <c r="E15" s="28" t="s">
        <v>237</v>
      </c>
      <c r="F15">
        <v>149</v>
      </c>
      <c r="G15" s="13"/>
      <c r="H15" s="13"/>
      <c r="I15" s="13"/>
      <c r="J15" s="13"/>
      <c r="K15" s="13"/>
      <c r="L15" s="13"/>
      <c r="M15" s="13"/>
      <c r="N15" s="13"/>
      <c r="O15" s="13"/>
      <c r="P15" s="23"/>
      <c r="Q15" s="13"/>
      <c r="R15" s="13"/>
      <c r="S15" s="13"/>
      <c r="T15" s="13"/>
      <c r="U15" s="13"/>
      <c r="V15" s="13"/>
      <c r="W15" s="13"/>
      <c r="X15" s="13"/>
    </row>
    <row r="16" spans="1:26" ht="14.5">
      <c r="A16" s="13"/>
      <c r="B16" s="28" t="s">
        <v>228</v>
      </c>
      <c r="C16">
        <v>134</v>
      </c>
      <c r="D16" s="13"/>
      <c r="E16" s="28" t="s">
        <v>228</v>
      </c>
      <c r="F16">
        <v>134</v>
      </c>
      <c r="G16" s="13"/>
      <c r="H16" s="13"/>
      <c r="I16" s="13"/>
      <c r="J16" s="13"/>
      <c r="K16" s="13"/>
      <c r="L16" s="13"/>
      <c r="M16" s="13"/>
      <c r="N16" s="13"/>
      <c r="O16" s="13"/>
      <c r="P16" s="23"/>
      <c r="Q16" s="13"/>
      <c r="R16" s="13"/>
      <c r="S16" s="13"/>
      <c r="T16" s="13"/>
      <c r="U16" s="13"/>
      <c r="V16" s="13"/>
      <c r="W16" s="13"/>
      <c r="X16" s="13"/>
    </row>
    <row r="17" spans="1:24" ht="14.5">
      <c r="A17" s="13"/>
      <c r="B17" s="28" t="s">
        <v>236</v>
      </c>
      <c r="C17">
        <v>129</v>
      </c>
      <c r="D17" s="13"/>
      <c r="E17" s="28" t="s">
        <v>236</v>
      </c>
      <c r="F17">
        <v>129</v>
      </c>
      <c r="G17" s="13"/>
      <c r="H17" s="13"/>
      <c r="I17" s="13"/>
      <c r="J17" s="13"/>
      <c r="K17" s="13"/>
      <c r="L17" s="13"/>
      <c r="M17" s="13"/>
      <c r="N17" s="13"/>
      <c r="O17" s="13"/>
      <c r="P17" s="23"/>
      <c r="Q17" s="13"/>
      <c r="R17" s="13"/>
      <c r="S17" s="13"/>
      <c r="T17" s="13"/>
      <c r="U17" s="13"/>
      <c r="V17" s="13"/>
      <c r="W17" s="13"/>
      <c r="X17" s="13"/>
    </row>
    <row r="18" spans="1:24" ht="14.5">
      <c r="A18" s="13"/>
      <c r="B18" s="28" t="s">
        <v>239</v>
      </c>
      <c r="C18">
        <v>128</v>
      </c>
      <c r="D18" s="13"/>
      <c r="E18" s="13"/>
      <c r="F18" s="13"/>
      <c r="G18" s="13"/>
      <c r="H18" s="13"/>
      <c r="I18" s="13"/>
      <c r="J18" s="13"/>
      <c r="K18" s="13"/>
      <c r="L18" s="13"/>
      <c r="M18" s="13"/>
      <c r="N18" s="13"/>
      <c r="O18" s="13"/>
      <c r="P18" s="23"/>
      <c r="Q18" s="13"/>
      <c r="R18" s="13"/>
      <c r="S18" s="13"/>
      <c r="T18" s="13"/>
      <c r="U18" s="13"/>
      <c r="V18" s="13"/>
      <c r="W18" s="13"/>
      <c r="X18" s="13"/>
    </row>
    <row r="19" spans="1:24" ht="14.5">
      <c r="A19" s="13"/>
      <c r="B19" s="28" t="s">
        <v>219</v>
      </c>
      <c r="C19">
        <v>121</v>
      </c>
      <c r="D19" s="13"/>
      <c r="E19" s="28" t="s">
        <v>285</v>
      </c>
      <c r="F19" s="13">
        <f>SUM(F13:F17)</f>
        <v>720</v>
      </c>
      <c r="G19" s="13"/>
      <c r="H19" s="13"/>
      <c r="I19" s="13"/>
      <c r="J19" s="13"/>
      <c r="K19" s="13"/>
      <c r="L19" s="13"/>
      <c r="M19" s="13"/>
      <c r="N19" s="13"/>
      <c r="O19" s="13"/>
      <c r="P19" s="23"/>
      <c r="Q19" s="13"/>
      <c r="R19" s="13"/>
      <c r="S19" s="13"/>
      <c r="T19" s="13"/>
      <c r="U19" s="13"/>
      <c r="V19" s="13"/>
      <c r="W19" s="13"/>
      <c r="X19" s="13"/>
    </row>
    <row r="20" spans="1:24" ht="14.5">
      <c r="A20" s="13"/>
      <c r="B20" s="28" t="s">
        <v>240</v>
      </c>
      <c r="C20">
        <v>108</v>
      </c>
      <c r="D20" s="13"/>
      <c r="E20" s="13"/>
      <c r="F20" s="13"/>
      <c r="G20" s="13"/>
      <c r="H20" s="13"/>
      <c r="I20" s="13"/>
      <c r="J20" s="13"/>
      <c r="K20" s="13"/>
      <c r="L20" s="13"/>
      <c r="M20" s="13"/>
      <c r="N20" s="13"/>
      <c r="O20" s="13"/>
      <c r="P20" s="23"/>
      <c r="Q20" s="13"/>
      <c r="R20" s="13"/>
      <c r="S20" s="13"/>
      <c r="T20" s="13"/>
      <c r="U20" s="13"/>
      <c r="V20" s="13"/>
      <c r="W20" s="13"/>
      <c r="X20" s="13"/>
    </row>
    <row r="21" spans="1:24" ht="15.75" customHeight="1">
      <c r="A21" s="13"/>
      <c r="B21" s="28" t="s">
        <v>241</v>
      </c>
      <c r="C21">
        <v>103</v>
      </c>
      <c r="D21" s="13"/>
      <c r="E21" s="13"/>
      <c r="F21" s="13"/>
      <c r="G21" s="13"/>
      <c r="H21" s="13"/>
      <c r="I21" s="13"/>
      <c r="J21" s="13"/>
      <c r="K21" s="13"/>
      <c r="L21" s="13"/>
      <c r="M21" s="13"/>
      <c r="N21" s="13"/>
      <c r="O21" s="13"/>
      <c r="P21" s="23"/>
      <c r="Q21" s="13"/>
      <c r="R21" s="13"/>
      <c r="S21" s="13"/>
      <c r="T21" s="13"/>
      <c r="U21" s="13"/>
      <c r="V21" s="13"/>
      <c r="W21" s="13"/>
      <c r="X21" s="13"/>
    </row>
    <row r="22" spans="1:24" ht="15.75" customHeight="1">
      <c r="A22" s="13"/>
      <c r="B22" s="28" t="s">
        <v>227</v>
      </c>
      <c r="C22">
        <v>92</v>
      </c>
      <c r="D22" s="13"/>
      <c r="E22" s="13"/>
      <c r="F22" s="13"/>
      <c r="G22" s="13"/>
      <c r="H22" s="13"/>
      <c r="I22" s="13"/>
      <c r="J22" s="13"/>
      <c r="K22" s="13"/>
      <c r="L22" s="13"/>
      <c r="M22" s="13"/>
      <c r="N22" s="13"/>
      <c r="O22" s="13"/>
      <c r="P22" s="23"/>
      <c r="Q22" s="13"/>
      <c r="R22" s="13"/>
      <c r="S22" s="13"/>
      <c r="T22" s="13"/>
      <c r="U22" s="13"/>
      <c r="V22" s="13"/>
      <c r="W22" s="13"/>
      <c r="X22" s="13"/>
    </row>
    <row r="23" spans="1:24" ht="15.75" customHeight="1">
      <c r="A23" s="13"/>
      <c r="B23" s="28" t="s">
        <v>235</v>
      </c>
      <c r="C23">
        <v>84</v>
      </c>
      <c r="D23" s="13"/>
      <c r="E23" s="13"/>
      <c r="F23" s="13"/>
      <c r="G23" s="13"/>
      <c r="H23" s="13"/>
      <c r="I23" s="13"/>
      <c r="J23" s="13"/>
      <c r="K23" s="13"/>
      <c r="L23" s="13"/>
      <c r="M23" s="13"/>
      <c r="N23" s="13"/>
      <c r="O23" s="13"/>
      <c r="P23" s="23"/>
      <c r="Q23" s="13"/>
      <c r="R23" s="13"/>
      <c r="S23" s="13"/>
      <c r="T23" s="13"/>
      <c r="U23" s="13"/>
      <c r="V23" s="13"/>
      <c r="W23" s="13"/>
      <c r="X23" s="13"/>
    </row>
    <row r="24" spans="1:24" ht="15.75" customHeight="1">
      <c r="A24" s="13"/>
      <c r="B24" s="28" t="s">
        <v>232</v>
      </c>
      <c r="C24">
        <v>60</v>
      </c>
      <c r="D24" s="13"/>
      <c r="E24" s="13"/>
      <c r="F24" s="13"/>
      <c r="G24" s="13"/>
      <c r="H24" s="13"/>
      <c r="I24" s="13"/>
      <c r="J24" s="13"/>
      <c r="K24" s="13"/>
      <c r="L24" s="13"/>
      <c r="M24" s="13"/>
      <c r="N24" s="13"/>
      <c r="O24" s="13"/>
      <c r="P24" s="23"/>
      <c r="Q24" s="13"/>
      <c r="R24" s="13"/>
      <c r="S24" s="13"/>
      <c r="T24" s="13"/>
      <c r="U24" s="13"/>
      <c r="V24" s="13"/>
      <c r="W24" s="13"/>
      <c r="X24" s="13"/>
    </row>
    <row r="25" spans="1:24" ht="15.75" customHeight="1">
      <c r="A25" s="13"/>
      <c r="B25" s="28" t="s">
        <v>226</v>
      </c>
      <c r="C25">
        <v>59</v>
      </c>
      <c r="D25" s="13"/>
      <c r="E25" s="13"/>
      <c r="F25" s="13"/>
      <c r="G25" s="13"/>
      <c r="H25" s="13"/>
      <c r="I25" s="13"/>
      <c r="J25" s="13"/>
      <c r="K25" s="13"/>
      <c r="L25" s="13"/>
      <c r="M25" s="13"/>
      <c r="N25" s="13"/>
      <c r="O25" s="13"/>
      <c r="P25" s="23"/>
      <c r="Q25" s="13"/>
      <c r="R25" s="13"/>
      <c r="S25" s="13"/>
      <c r="T25" s="13"/>
      <c r="U25" s="13"/>
      <c r="V25" s="13"/>
      <c r="W25" s="13"/>
      <c r="X25" s="13"/>
    </row>
    <row r="26" spans="1:24" ht="15.75" customHeight="1">
      <c r="A26" s="13"/>
      <c r="B26" s="28" t="s">
        <v>220</v>
      </c>
      <c r="C26">
        <v>58</v>
      </c>
      <c r="D26" s="13"/>
      <c r="E26" s="13"/>
      <c r="F26" s="13"/>
      <c r="G26" s="13"/>
      <c r="H26" s="13"/>
      <c r="I26" s="13"/>
      <c r="J26" s="13"/>
      <c r="K26" s="13"/>
      <c r="L26" s="13"/>
      <c r="M26" s="13"/>
      <c r="N26" s="13"/>
      <c r="O26" s="13"/>
      <c r="P26" s="23"/>
      <c r="Q26" s="13"/>
      <c r="R26" s="13"/>
      <c r="S26" s="13"/>
      <c r="T26" s="13"/>
      <c r="U26" s="13"/>
      <c r="V26" s="13"/>
      <c r="W26" s="13"/>
      <c r="X26" s="13"/>
    </row>
    <row r="27" spans="1:24" ht="15.75" customHeight="1">
      <c r="A27" s="13"/>
      <c r="B27" s="28" t="s">
        <v>231</v>
      </c>
      <c r="C27">
        <v>55</v>
      </c>
      <c r="D27" s="13"/>
      <c r="E27" s="13"/>
      <c r="F27" s="13"/>
      <c r="G27" s="13"/>
      <c r="H27" s="13"/>
      <c r="I27" s="13"/>
      <c r="J27" s="13"/>
      <c r="K27" s="13"/>
      <c r="L27" s="13"/>
      <c r="M27" s="13"/>
      <c r="N27" s="13"/>
      <c r="O27" s="13"/>
      <c r="P27" s="23"/>
      <c r="Q27" s="13"/>
      <c r="R27" s="13"/>
      <c r="S27" s="13"/>
      <c r="T27" s="13"/>
      <c r="U27" s="13"/>
      <c r="V27" s="13"/>
      <c r="W27" s="13"/>
      <c r="X27" s="13"/>
    </row>
    <row r="28" spans="1:24" ht="15.75" customHeight="1">
      <c r="A28" s="13"/>
      <c r="B28" s="28" t="s">
        <v>229</v>
      </c>
      <c r="C28">
        <v>53</v>
      </c>
      <c r="D28" s="13"/>
      <c r="E28" s="13"/>
      <c r="F28" s="13"/>
      <c r="G28" s="13"/>
      <c r="H28" s="13"/>
      <c r="I28" s="13"/>
      <c r="J28" s="13"/>
      <c r="K28" s="13"/>
      <c r="L28" s="13"/>
      <c r="M28" s="13"/>
      <c r="N28" s="13"/>
      <c r="O28" s="13"/>
      <c r="P28" s="23"/>
      <c r="Q28" s="13"/>
      <c r="R28" s="13"/>
      <c r="S28" s="13"/>
      <c r="T28" s="13"/>
      <c r="U28" s="13"/>
      <c r="V28" s="13"/>
      <c r="W28" s="13"/>
      <c r="X28" s="13"/>
    </row>
    <row r="29" spans="1:24" ht="15.75" customHeight="1">
      <c r="A29" s="13"/>
      <c r="B29" s="28" t="s">
        <v>221</v>
      </c>
      <c r="C29">
        <v>51</v>
      </c>
      <c r="D29" s="13"/>
      <c r="E29" s="13"/>
      <c r="F29" s="13"/>
      <c r="G29" s="13"/>
      <c r="H29" s="13"/>
      <c r="I29" s="13"/>
      <c r="J29" s="13"/>
      <c r="K29" s="13"/>
      <c r="L29" s="13"/>
      <c r="M29" s="13"/>
      <c r="N29" s="13"/>
      <c r="O29" s="13"/>
      <c r="P29" s="23"/>
      <c r="Q29" s="13"/>
      <c r="R29" s="13"/>
      <c r="S29" s="13"/>
      <c r="T29" s="13"/>
      <c r="U29" s="13"/>
      <c r="V29" s="13"/>
      <c r="W29" s="13"/>
      <c r="X29" s="13"/>
    </row>
    <row r="30" spans="1:24" ht="15.75" customHeight="1">
      <c r="A30" s="13"/>
      <c r="B30" s="28" t="s">
        <v>230</v>
      </c>
      <c r="C30">
        <v>49</v>
      </c>
      <c r="D30" s="13"/>
      <c r="E30" s="13"/>
      <c r="F30" s="13"/>
      <c r="G30" s="13"/>
      <c r="H30" s="13"/>
      <c r="I30" s="13"/>
      <c r="J30" s="13"/>
      <c r="K30" s="13"/>
      <c r="L30" s="13"/>
      <c r="M30" s="13"/>
      <c r="N30" s="13"/>
      <c r="O30" s="13"/>
      <c r="P30" s="23"/>
      <c r="Q30" s="13"/>
      <c r="R30" s="13"/>
      <c r="S30" s="13"/>
      <c r="T30" s="13"/>
      <c r="U30" s="13"/>
      <c r="V30" s="13"/>
      <c r="W30" s="13"/>
      <c r="X30" s="13"/>
    </row>
    <row r="31" spans="1:24" ht="15.75" customHeight="1">
      <c r="A31" s="13"/>
      <c r="B31" s="28" t="s">
        <v>233</v>
      </c>
      <c r="C31">
        <v>46</v>
      </c>
      <c r="D31" s="13"/>
      <c r="E31" s="13"/>
      <c r="F31" s="13"/>
      <c r="G31" s="13"/>
      <c r="H31" s="13"/>
      <c r="I31" s="13"/>
      <c r="J31" s="13"/>
      <c r="K31" s="13"/>
      <c r="L31" s="13"/>
      <c r="M31" s="13"/>
      <c r="N31" s="13"/>
      <c r="O31" s="13"/>
      <c r="P31" s="23"/>
      <c r="Q31" s="13"/>
      <c r="R31" s="13"/>
      <c r="S31" s="13"/>
      <c r="T31" s="13"/>
      <c r="U31" s="13"/>
      <c r="V31" s="13"/>
      <c r="W31" s="13"/>
      <c r="X31" s="13"/>
    </row>
    <row r="32" spans="1:24" ht="15.75" customHeight="1">
      <c r="A32" s="13"/>
      <c r="B32" s="28" t="s">
        <v>234</v>
      </c>
      <c r="C32">
        <v>45</v>
      </c>
      <c r="D32" s="13"/>
      <c r="E32" s="13"/>
      <c r="F32" s="13"/>
      <c r="G32" s="13"/>
      <c r="H32" s="13"/>
      <c r="I32" s="13"/>
      <c r="J32" s="13"/>
      <c r="K32" s="13"/>
      <c r="L32" s="13"/>
      <c r="M32" s="13"/>
      <c r="N32" s="13"/>
      <c r="O32" s="13"/>
      <c r="P32" s="13"/>
      <c r="Q32" s="13"/>
      <c r="R32" s="13"/>
      <c r="S32" s="13"/>
      <c r="T32" s="13"/>
      <c r="U32" s="13"/>
      <c r="V32" s="13"/>
      <c r="W32" s="13"/>
      <c r="X32" s="13"/>
    </row>
    <row r="33" spans="1:24" ht="15.75" customHeight="1">
      <c r="A33" s="13"/>
      <c r="B33" s="28" t="s">
        <v>222</v>
      </c>
      <c r="C33">
        <v>40</v>
      </c>
      <c r="D33" s="13"/>
      <c r="E33" s="13"/>
      <c r="F33" s="13"/>
      <c r="G33" s="13"/>
      <c r="H33" s="13"/>
      <c r="I33" s="13"/>
      <c r="J33" s="13"/>
      <c r="K33" s="13"/>
      <c r="L33" s="13"/>
      <c r="M33" s="13"/>
      <c r="N33" s="13"/>
      <c r="O33" s="13"/>
      <c r="P33" s="13"/>
      <c r="Q33" s="13"/>
      <c r="R33" s="13"/>
      <c r="S33" s="13"/>
      <c r="T33" s="13"/>
      <c r="U33" s="13"/>
      <c r="V33" s="13"/>
      <c r="W33" s="13"/>
      <c r="X33" s="13"/>
    </row>
    <row r="34" spans="1:24" ht="15.75" customHeight="1">
      <c r="A34" s="13"/>
      <c r="B34" s="28" t="s">
        <v>223</v>
      </c>
      <c r="C34">
        <v>20</v>
      </c>
      <c r="D34" s="13"/>
      <c r="E34" s="13"/>
      <c r="F34" s="13"/>
      <c r="G34" s="13"/>
      <c r="H34" s="13"/>
      <c r="I34" s="13"/>
      <c r="J34" s="13"/>
      <c r="K34" s="13"/>
      <c r="L34" s="13"/>
      <c r="M34" s="13"/>
      <c r="N34" s="13"/>
      <c r="O34" s="13"/>
      <c r="P34" s="13"/>
      <c r="Q34" s="13"/>
      <c r="R34" s="13"/>
      <c r="S34" s="13"/>
      <c r="T34" s="13"/>
      <c r="U34" s="13"/>
      <c r="V34" s="13"/>
      <c r="W34" s="13"/>
      <c r="X34" s="13"/>
    </row>
    <row r="35" spans="1:24" ht="15.75" customHeight="1">
      <c r="A35" s="13"/>
      <c r="B35" s="28" t="s">
        <v>224</v>
      </c>
      <c r="C35">
        <v>20</v>
      </c>
      <c r="D35" s="13"/>
      <c r="E35" s="13"/>
      <c r="F35" s="13"/>
      <c r="G35" s="13"/>
      <c r="H35" s="13"/>
      <c r="I35" s="13"/>
      <c r="J35" s="13"/>
      <c r="K35" s="13"/>
      <c r="L35" s="13"/>
      <c r="M35" s="13"/>
      <c r="N35" s="13"/>
      <c r="O35" s="13"/>
      <c r="P35" s="13"/>
      <c r="Q35" s="13"/>
      <c r="R35" s="13"/>
      <c r="S35" s="13"/>
      <c r="T35" s="13"/>
      <c r="U35" s="13"/>
      <c r="V35" s="13"/>
      <c r="W35" s="13"/>
      <c r="X35" s="13"/>
    </row>
    <row r="36" spans="1:24" ht="15.75" customHeight="1">
      <c r="A36" s="13"/>
      <c r="B36" s="28" t="s">
        <v>225</v>
      </c>
      <c r="C36">
        <v>13</v>
      </c>
      <c r="D36" s="13"/>
      <c r="E36" s="13"/>
      <c r="F36" s="13"/>
      <c r="G36" s="13"/>
      <c r="H36" s="13"/>
      <c r="I36" s="13"/>
      <c r="J36" s="13"/>
      <c r="K36" s="13"/>
      <c r="L36" s="13"/>
      <c r="M36" s="13"/>
      <c r="N36" s="13"/>
      <c r="O36" s="13"/>
      <c r="P36" s="13"/>
      <c r="Q36" s="13"/>
      <c r="R36" s="13"/>
      <c r="S36" s="13"/>
      <c r="T36" s="13"/>
      <c r="U36" s="13"/>
      <c r="V36" s="13"/>
      <c r="W36" s="13"/>
      <c r="X36" s="13"/>
    </row>
    <row r="37" spans="1:24" ht="15.75" customHeight="1">
      <c r="A37" s="13"/>
      <c r="B37" s="28" t="s">
        <v>243</v>
      </c>
      <c r="C37">
        <v>1925</v>
      </c>
      <c r="D37" s="13"/>
      <c r="E37" s="13"/>
      <c r="F37" s="13"/>
      <c r="G37" s="13"/>
      <c r="H37" s="13"/>
      <c r="I37" s="13"/>
      <c r="J37" s="13"/>
      <c r="K37" s="13"/>
      <c r="L37" s="13"/>
      <c r="M37" s="13"/>
      <c r="N37" s="13"/>
      <c r="O37" s="13"/>
      <c r="P37" s="13"/>
      <c r="Q37" s="13"/>
      <c r="R37" s="13"/>
      <c r="S37" s="13"/>
      <c r="T37" s="13"/>
      <c r="U37" s="13"/>
      <c r="V37" s="13"/>
      <c r="W37" s="13"/>
      <c r="X37" s="13"/>
    </row>
    <row r="38" spans="1:24" ht="15.75" customHeight="1">
      <c r="A38" s="13"/>
      <c r="B38" s="13"/>
      <c r="C38" s="13"/>
      <c r="D38" s="13"/>
      <c r="E38" s="13"/>
      <c r="F38" s="13"/>
      <c r="G38" s="13"/>
      <c r="H38" s="13"/>
      <c r="I38" s="13"/>
      <c r="J38" s="13"/>
      <c r="K38" s="13"/>
      <c r="L38" s="24"/>
      <c r="M38" s="13"/>
      <c r="N38" s="13"/>
      <c r="O38" s="13"/>
      <c r="P38" s="13"/>
      <c r="Q38" s="13"/>
      <c r="R38" s="13"/>
      <c r="S38" s="13"/>
      <c r="T38" s="13"/>
      <c r="U38" s="13"/>
      <c r="V38" s="13"/>
      <c r="W38" s="13"/>
      <c r="X38" s="13"/>
    </row>
    <row r="39" spans="1:24" ht="15.75" customHeight="1">
      <c r="A39" s="13"/>
      <c r="B39" s="13"/>
      <c r="C39" s="13"/>
      <c r="D39" s="13"/>
      <c r="E39" s="13"/>
      <c r="F39" s="13"/>
      <c r="G39" s="13"/>
      <c r="H39" s="13"/>
      <c r="I39" s="13"/>
      <c r="J39" s="13"/>
      <c r="K39" s="13"/>
      <c r="L39" s="24"/>
      <c r="M39" s="13"/>
      <c r="N39" s="13"/>
      <c r="O39" s="13"/>
      <c r="P39" s="13"/>
      <c r="Q39" s="13"/>
      <c r="R39" s="13"/>
      <c r="S39" s="13"/>
      <c r="T39" s="13"/>
      <c r="U39" s="13"/>
      <c r="V39" s="13"/>
      <c r="W39" s="13"/>
      <c r="X39" s="13"/>
    </row>
    <row r="40" spans="1:24" ht="15.75" customHeight="1">
      <c r="A40" s="13"/>
      <c r="B40" s="13"/>
      <c r="C40" s="13"/>
      <c r="D40" s="13"/>
      <c r="E40" s="13"/>
      <c r="F40" s="13"/>
      <c r="G40" s="13"/>
      <c r="H40" s="13"/>
      <c r="I40" s="13"/>
      <c r="J40" s="13"/>
      <c r="K40" s="13"/>
      <c r="L40" s="24"/>
      <c r="M40" s="13"/>
      <c r="N40" s="13"/>
      <c r="O40" s="13"/>
      <c r="P40" s="13"/>
      <c r="Q40" s="13"/>
      <c r="R40" s="13"/>
      <c r="S40" s="13"/>
      <c r="T40" s="13"/>
      <c r="U40" s="13"/>
      <c r="V40" s="13"/>
      <c r="W40" s="13"/>
      <c r="X40" s="13"/>
    </row>
    <row r="41" spans="1:24" ht="15.75" customHeight="1">
      <c r="A41" s="13"/>
      <c r="B41" s="13"/>
      <c r="C41" s="13"/>
      <c r="D41" s="13"/>
      <c r="E41" s="13"/>
      <c r="F41" s="13"/>
      <c r="G41" s="13"/>
      <c r="H41" s="13"/>
      <c r="I41" s="13"/>
      <c r="J41" s="13"/>
      <c r="K41" s="13"/>
      <c r="L41" s="24"/>
      <c r="M41" s="13"/>
      <c r="N41" s="13"/>
      <c r="O41" s="13"/>
      <c r="P41" s="13"/>
      <c r="Q41" s="13"/>
      <c r="R41" s="13"/>
      <c r="S41" s="13"/>
      <c r="T41" s="13"/>
      <c r="U41" s="13"/>
      <c r="V41" s="13"/>
      <c r="W41" s="13"/>
      <c r="X41" s="13"/>
    </row>
    <row r="42" spans="1:24" ht="15.75" customHeight="1">
      <c r="A42" s="13"/>
      <c r="B42" s="13"/>
      <c r="C42" s="13"/>
      <c r="D42" s="13"/>
      <c r="E42" s="13"/>
      <c r="F42" s="13"/>
      <c r="G42" s="13"/>
      <c r="H42" s="13"/>
      <c r="I42" s="13"/>
      <c r="J42" s="13"/>
      <c r="K42" s="13"/>
      <c r="L42" s="24"/>
      <c r="M42" s="21"/>
      <c r="N42" s="13"/>
      <c r="O42" s="13"/>
      <c r="P42" s="13"/>
      <c r="Q42" s="13"/>
      <c r="R42" s="13"/>
      <c r="S42" s="13"/>
      <c r="T42" s="13"/>
      <c r="U42" s="13"/>
      <c r="V42" s="13"/>
      <c r="W42" s="13"/>
      <c r="X42" s="13"/>
    </row>
    <row r="43" spans="1:24"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row>
    <row r="44" spans="1:2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row>
    <row r="45" spans="1:24"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row>
    <row r="46" spans="1:24"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spans="1:24"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spans="1:24"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spans="1:24"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spans="1:24"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spans="1:24"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spans="1:24"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spans="1:24"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spans="1:2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spans="1:24"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spans="1:24"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spans="1:24"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spans="1:24"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spans="1:24"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spans="1:24"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spans="1:24"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spans="1:24"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spans="1:24"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spans="1:2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spans="1:24"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spans="1:24"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spans="1:24"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spans="1:24"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spans="1:24"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spans="1:24"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spans="1:24"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spans="1:24"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spans="1:24"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spans="1:2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spans="1:24"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spans="1:24"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spans="1:24"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spans="1:24"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spans="1:24"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spans="1:24"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spans="1:24"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spans="1:24"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spans="1:24"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spans="1:2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spans="1:24"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spans="1:24"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spans="1:24"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spans="1:24"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spans="1:24"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spans="1:24"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spans="1:24"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spans="1:24"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spans="1:24"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spans="1:2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spans="1:24"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spans="1:24"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spans="1:24"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spans="1:24"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spans="1:24"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spans="1:24"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spans="1:24"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spans="1:24"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spans="1:24"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spans="1:2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spans="1:24"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spans="1:24"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spans="1:24"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spans="1:24"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spans="1:24"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spans="1:24"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spans="1:24"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spans="1:24"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spans="1:2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spans="1:24"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spans="1:24"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spans="1:24"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spans="1:24"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spans="1:24"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spans="1:24"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spans="1:24"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spans="1:24"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spans="1:24"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spans="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spans="1:24"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spans="1:24"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spans="1:24"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spans="1:24"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spans="1:24"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spans="1:24"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spans="1:24"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spans="1:24"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spans="1:24"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spans="1:2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spans="1:24"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spans="1:24"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spans="1:24"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spans="1:24"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spans="1:24"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spans="1:24"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spans="1:24"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spans="1:24"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spans="1:24"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spans="1:2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spans="1:24"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spans="1:24"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spans="1:24"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spans="1:24"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spans="1:24"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spans="1:24"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spans="1:24"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spans="1:24"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spans="1:24"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spans="1:2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spans="1:24"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spans="1:24"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spans="1:24"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spans="1:24"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spans="1:24"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spans="1:24"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spans="1:24"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spans="1:24"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spans="1:24"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spans="1:2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spans="1:24"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spans="1:24"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spans="1:24"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spans="1:24"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spans="1:24"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spans="1:24"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spans="1:24"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spans="1:24"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spans="1:24"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spans="1:2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spans="1:24"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spans="1:24"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spans="1:24"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spans="1:24"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spans="1:24"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spans="1:24"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spans="1:24"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spans="1:24"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spans="1:24"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spans="1:2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spans="1:24"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spans="1:24"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spans="1:24"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spans="1:24"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spans="1:24"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spans="1:24"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spans="1:24"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spans="1:24"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spans="1:24"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spans="1:2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spans="1:24"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spans="1:24"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spans="1:24"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spans="1:24"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spans="1:24"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spans="1:24"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spans="1:24"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spans="1:24"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spans="1:24"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spans="1:2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spans="1:24"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spans="1:24"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spans="1:24"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spans="1:24"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spans="1:24"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spans="1:24"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spans="1:24"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spans="1:24"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spans="1:24"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spans="1:2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spans="1:24"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spans="1:24"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spans="1:24"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spans="1:24"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spans="1:24"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spans="1:24"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X3"/>
    <mergeCell ref="B4:P4"/>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Instructions</vt:lpstr>
      <vt:lpstr>Details</vt:lpstr>
      <vt:lpstr>Searches_raw</vt:lpstr>
      <vt:lpstr>Activity_raw</vt:lpstr>
      <vt:lpstr>Q1</vt:lpstr>
      <vt:lpstr>Q2</vt:lpstr>
      <vt:lpstr>Q3</vt:lpstr>
      <vt:lpstr>Q4</vt:lpstr>
      <vt:lpstr>Q5</vt:lpstr>
      <vt:lpstr>Q6</vt:lpstr>
      <vt:lpstr>Q7</vt:lpstr>
      <vt:lpstr>'Q6'!solver_adj</vt:lpstr>
      <vt:lpstr>'Q6'!solver_opt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ogambanengi@gmail.com</cp:lastModifiedBy>
  <dcterms:created xsi:type="dcterms:W3CDTF">2025-08-01T09:44:14Z</dcterms:created>
  <dcterms:modified xsi:type="dcterms:W3CDTF">2025-10-05T22:29:19Z</dcterms:modified>
</cp:coreProperties>
</file>